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❄ СТАРТ" sheetId="1" state="visible" r:id="rId1"/>
    <sheet name="❄ HIM" sheetId="2" state="visible" r:id="rId2"/>
    <sheet name="❄ H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"/>
    <numFmt numFmtId="165" formatCode="0.0"/>
  </numFmts>
  <fonts count="23">
    <font>
      <name val="Montserrat"/>
      <color rgb="00E6F0FF"/>
      <sz val="10"/>
    </font>
    <font>
      <name val="Oswald"/>
      <b val="1"/>
      <color rgb="00E6F0FF"/>
      <sz val="30"/>
    </font>
    <font>
      <name val="Montserrat"/>
      <color rgb="007DD3FC"/>
      <sz val="11"/>
    </font>
    <font>
      <name val="Montserrat"/>
      <b val="1"/>
      <color rgb="007F95BA"/>
      <sz val="9"/>
    </font>
    <font>
      <name val="Montserrat"/>
      <color rgb="00E6F0FF"/>
      <sz val="11"/>
    </font>
    <font>
      <name val="Montserrat"/>
      <color rgb="004A5B7C"/>
      <sz val="9"/>
    </font>
    <font>
      <name val="Montserrat"/>
      <b val="1"/>
      <color rgb="007DD3FC"/>
      <sz val="11"/>
    </font>
    <font>
      <name val="Oswald"/>
      <b val="1"/>
      <color rgb="00E6F0FF"/>
      <sz val="26"/>
    </font>
    <font>
      <name val="Montserrat"/>
      <color rgb="007DD3FC"/>
      <sz val="10"/>
    </font>
    <font>
      <name val="Montserrat"/>
      <b val="1"/>
      <color rgb="007F95BA"/>
      <sz val="8"/>
    </font>
    <font>
      <name val="Oswald"/>
      <b val="1"/>
      <color rgb="007DD3FC"/>
      <sz val="20"/>
    </font>
    <font>
      <name val="Montserrat"/>
      <color rgb="007DD3FC"/>
      <sz val="13"/>
    </font>
    <font>
      <name val="Montserrat"/>
      <b val="1"/>
      <color rgb="007DD3FC"/>
      <sz val="10"/>
    </font>
    <font>
      <name val="Montserrat"/>
      <b val="1"/>
      <color rgb="00E6F0FF"/>
      <sz val="9"/>
    </font>
    <font>
      <name val="Montserrat"/>
      <b val="1"/>
      <color rgb="007DD3FC"/>
      <sz val="9"/>
    </font>
    <font>
      <name val="Montserrat"/>
      <b val="1"/>
      <color rgb="00E6F0FF"/>
      <sz val="10"/>
    </font>
    <font>
      <name val="Montserrat"/>
      <color rgb="007F95BA"/>
      <sz val="9"/>
    </font>
    <font>
      <name val="Montserrat"/>
      <color rgb="007F95BA"/>
      <sz val="10"/>
    </font>
    <font>
      <name val="Montserrat"/>
      <color rgb="00C7D2FE"/>
      <sz val="10"/>
    </font>
    <font>
      <name val="Oswald"/>
      <b val="1"/>
      <color rgb="00C7D2FE"/>
      <sz val="20"/>
    </font>
    <font>
      <name val="Montserrat"/>
      <color rgb="00C7D2FE"/>
      <sz val="13"/>
    </font>
    <font>
      <name val="Montserrat"/>
      <b val="1"/>
      <color rgb="00C7D2FE"/>
      <sz val="10"/>
    </font>
    <font>
      <name val="Montserrat"/>
      <b val="1"/>
      <color rgb="00C7D2FE"/>
      <sz val="9"/>
    </font>
  </fonts>
  <fills count="5">
    <fill>
      <patternFill/>
    </fill>
    <fill>
      <patternFill patternType="gray125"/>
    </fill>
    <fill>
      <patternFill patternType="solid">
        <fgColor rgb="000A1020"/>
        <bgColor rgb="000A1020"/>
      </patternFill>
    </fill>
    <fill>
      <patternFill patternType="solid">
        <fgColor rgb="0015213A"/>
        <bgColor rgb="0015213A"/>
      </patternFill>
    </fill>
    <fill>
      <patternFill patternType="solid">
        <fgColor rgb="00111A2E"/>
        <bgColor rgb="00111A2E"/>
      </patternFill>
    </fill>
  </fills>
  <borders count="4">
    <border>
      <left/>
      <right/>
      <top/>
      <bottom/>
      <diagonal/>
    </border>
    <border>
      <left style="thick">
        <color rgb="000A1020"/>
      </left>
      <right style="thick">
        <color rgb="000A1020"/>
      </right>
      <top style="thick">
        <color rgb="000A1020"/>
      </top>
      <bottom style="thick">
        <color rgb="000A1020"/>
      </bottom>
    </border>
    <border>
      <bottom style="medium">
        <color rgb="0038BDF8"/>
      </bottom>
    </border>
    <border>
      <bottom style="medium">
        <color rgb="00A5B4FC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right" vertical="center"/>
    </xf>
    <xf numFmtId="0" fontId="0" fillId="3" borderId="0" pivotButton="0" quotePrefix="0" xfId="0"/>
    <xf numFmtId="0" fontId="5" fillId="2" borderId="0" applyAlignment="1" pivotButton="0" quotePrefix="0" xfId="0">
      <alignment horizontal="left" vertical="center" wrapText="1"/>
    </xf>
    <xf numFmtId="0" fontId="7" fillId="2" borderId="0" pivotButton="0" quotePrefix="0" xfId="0"/>
    <xf numFmtId="0" fontId="8" fillId="2" borderId="0" pivotButton="0" quotePrefix="0" xfId="0"/>
    <xf numFmtId="0" fontId="9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9" fontId="10" fillId="4" borderId="1" applyAlignment="1" pivotButton="0" quotePrefix="0" xfId="0">
      <alignment horizontal="center" vertical="center" wrapText="1"/>
    </xf>
    <xf numFmtId="1" fontId="10" fillId="4" borderId="1" applyAlignment="1" pivotButton="0" quotePrefix="0" xfId="0">
      <alignment horizontal="center" vertical="center" wrapText="1"/>
    </xf>
    <xf numFmtId="49" fontId="10" fillId="4" borderId="1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 vertical="center" wrapText="1"/>
    </xf>
    <xf numFmtId="9" fontId="12" fillId="4" borderId="0" applyAlignment="1" pivotButton="0" quotePrefix="0" xfId="0">
      <alignment horizontal="center" vertical="center" wrapText="1"/>
    </xf>
    <xf numFmtId="0" fontId="13" fillId="3" borderId="2" applyAlignment="1" pivotButton="0" quotePrefix="0" xfId="0">
      <alignment horizontal="center" vertical="center" wrapText="1"/>
    </xf>
    <xf numFmtId="0" fontId="14" fillId="3" borderId="2" applyAlignment="1" pivotButton="0" quotePrefix="0" xfId="0">
      <alignment horizontal="center" vertical="center" wrapText="1"/>
    </xf>
    <xf numFmtId="0" fontId="13" fillId="3" borderId="0" applyAlignment="1" pivotButton="0" quotePrefix="0" xfId="0">
      <alignment horizontal="center" vertical="center" wrapText="1"/>
    </xf>
    <xf numFmtId="164" fontId="15" fillId="2" borderId="0" applyAlignment="1" pivotButton="0" quotePrefix="0" xfId="0">
      <alignment horizontal="center" vertical="center"/>
    </xf>
    <xf numFmtId="0" fontId="16" fillId="2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9" fontId="15" fillId="2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165" fontId="0" fillId="2" borderId="0" applyAlignment="1" pivotButton="0" quotePrefix="0" xfId="0">
      <alignment horizontal="center" vertical="center"/>
    </xf>
    <xf numFmtId="0" fontId="17" fillId="2" borderId="0" pivotButton="0" quotePrefix="0" xfId="0"/>
    <xf numFmtId="0" fontId="18" fillId="2" borderId="0" pivotButton="0" quotePrefix="0" xfId="0"/>
    <xf numFmtId="9" fontId="19" fillId="4" borderId="1" applyAlignment="1" pivotButton="0" quotePrefix="0" xfId="0">
      <alignment horizontal="center" vertical="center" wrapText="1"/>
    </xf>
    <xf numFmtId="1" fontId="19" fillId="4" borderId="1" applyAlignment="1" pivotButton="0" quotePrefix="0" xfId="0">
      <alignment horizontal="center" vertical="center" wrapText="1"/>
    </xf>
    <xf numFmtId="49" fontId="19" fillId="4" borderId="1" applyAlignment="1" pivotButton="0" quotePrefix="0" xfId="0">
      <alignment horizontal="center" vertical="center" wrapText="1"/>
    </xf>
    <xf numFmtId="0" fontId="20" fillId="2" borderId="0" applyAlignment="1" pivotButton="0" quotePrefix="0" xfId="0">
      <alignment horizontal="center" vertical="center" wrapText="1"/>
    </xf>
    <xf numFmtId="9" fontId="21" fillId="4" borderId="0" applyAlignment="1" pivotButton="0" quotePrefix="0" xfId="0">
      <alignment horizontal="center" vertical="center" wrapText="1"/>
    </xf>
    <xf numFmtId="0" fontId="13" fillId="3" borderId="3" applyAlignment="1" pivotButton="0" quotePrefix="0" xfId="0">
      <alignment horizontal="center" vertical="center" wrapText="1"/>
    </xf>
    <xf numFmtId="0" fontId="22" fillId="3" borderId="3" applyAlignment="1" pivotButton="0" quotePrefix="0" xfId="0">
      <alignment horizontal="center" vertical="center" wrapText="1"/>
    </xf>
    <xf numFmtId="0" fontId="18" fillId="2" borderId="0" applyAlignment="1" pivotButton="0" quotePrefix="0" xfId="0">
      <alignment horizontal="center" vertical="center"/>
    </xf>
  </cellXfs>
  <cellStyles count="1">
    <cellStyle name="Normal" xfId="0" builtinId="0" hidden="0"/>
  </cellStyles>
  <dxfs count="6">
    <dxf>
      <fill>
        <patternFill patternType="solid">
          <fgColor rgb="000D1528"/>
          <bgColor rgb="000D1528"/>
        </patternFill>
      </fill>
    </dxf>
    <dxf>
      <font>
        <b val="1"/>
        <color rgb="00FFFFFF"/>
      </font>
      <fill>
        <patternFill patternType="solid">
          <fgColor rgb="00123E63"/>
          <bgColor rgb="00123E63"/>
        </patternFill>
      </fill>
    </dxf>
    <dxf>
      <fill>
        <patternFill patternType="solid">
          <fgColor rgb="000C3553"/>
          <bgColor rgb="000C3553"/>
        </patternFill>
      </fill>
    </dxf>
    <dxf>
      <font>
        <color rgb="004A5B7C"/>
      </font>
    </dxf>
    <dxf>
      <font>
        <b val="1"/>
        <color rgb="00FFFFFF"/>
      </font>
      <fill>
        <patternFill patternType="solid">
          <fgColor rgb="002C3470"/>
          <bgColor rgb="002C3470"/>
        </patternFill>
      </fill>
    </dxf>
    <dxf>
      <fill>
        <patternFill patternType="solid">
          <fgColor rgb="00232A57"/>
          <bgColor rgb="00232A5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0F2FE"/>
    <outlinePr summaryBelow="1" summaryRight="1"/>
    <pageSetUpPr/>
  </sheetPr>
  <dimension ref="A1:H26"/>
  <sheetViews>
    <sheetView showGridLines="0" workbookViewId="0">
      <selection activeCell="A1" sqref="A1"/>
    </sheetView>
  </sheetViews>
  <sheetFormatPr baseColWidth="8" defaultRowHeight="15"/>
  <cols>
    <col width="3.29" customWidth="1" min="1" max="1"/>
    <col width="17.86" customWidth="1" min="2" max="2"/>
    <col width="17.86" customWidth="1" min="3" max="3"/>
    <col width="17.86" customWidth="1" min="4" max="4"/>
    <col width="17.86" customWidth="1" min="5" max="5"/>
    <col width="17.86" customWidth="1" min="6" max="6"/>
    <col width="17.86" customWidth="1" min="7" max="7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</row>
    <row r="2" ht="45" customHeight="1">
      <c r="A2" s="1" t="n"/>
      <c r="B2" s="2" t="inlineStr">
        <is>
          <t>❄  WINTER ARC 2026</t>
        </is>
      </c>
      <c r="H2" s="1" t="n"/>
    </row>
    <row r="3" ht="20" customHeight="1">
      <c r="A3" s="1" t="n"/>
      <c r="B3" s="3" t="inlineStr">
        <is>
          <t>92 дней, чтобы к Новому году стать версией себя, которой будешь гордиться.</t>
        </is>
      </c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 ht="20" customHeight="1">
      <c r="A5" s="1" t="n"/>
      <c r="B5" s="4" t="inlineStr">
        <is>
          <t>КАК ПОЛЬЗОВАТЬСЯ</t>
        </is>
      </c>
      <c r="H5" s="1" t="n"/>
    </row>
    <row r="6" ht="20" customHeight="1">
      <c r="A6" s="1" t="n"/>
      <c r="B6" s="5" t="inlineStr">
        <is>
          <t>1.  Открой свой лист — ❄ HIM или ❄ HER (вкладки внизу).</t>
        </is>
      </c>
      <c r="H6" s="1" t="n"/>
    </row>
    <row r="7" ht="20" customHeight="1">
      <c r="A7" s="1" t="n"/>
      <c r="B7" s="5" t="inlineStr">
        <is>
          <t>2.  Впиши свои привычки в заголовки таблицы (строка 8) — всё пересчитается само.</t>
        </is>
      </c>
      <c r="H7" s="1" t="n"/>
    </row>
    <row r="8" ht="20" customHeight="1">
      <c r="A8" s="1" t="n"/>
      <c r="B8" s="5" t="inlineStr">
        <is>
          <t>3.  Каждый вечер отмечай галочки. Сегодняшний день подсвечен.</t>
        </is>
      </c>
      <c r="H8" s="1" t="n"/>
    </row>
    <row r="9" ht="20" customHeight="1">
      <c r="A9" s="1" t="n"/>
      <c r="B9" s="5" t="inlineStr">
        <is>
          <t>4.  День засчитан, если выполнено ≥ 80% привычек. Серия — дни подряд без провала.</t>
        </is>
      </c>
      <c r="H9" s="1" t="n"/>
    </row>
    <row r="10" ht="20" customHeight="1">
      <c r="A10" s="1" t="n"/>
      <c r="B10" s="5" t="inlineStr">
        <is>
          <t>5.  Сон, вес, настроение и заметка — по желанию. Через 92 дней это твой дневник перемен.</t>
        </is>
      </c>
      <c r="H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</row>
    <row r="12" ht="20" customHeight="1">
      <c r="A12" s="1" t="n"/>
      <c r="B12" s="4" t="inlineStr">
        <is>
          <t>ПРАВИЛА АРКИ</t>
        </is>
      </c>
      <c r="H12" s="1" t="n"/>
    </row>
    <row r="13" ht="20" customHeight="1">
      <c r="A13" s="1" t="n"/>
      <c r="B13" s="5" t="inlineStr">
        <is>
          <t>—  Никаких нулевых дней: в плохой день сделай хотя бы минимум.</t>
        </is>
      </c>
      <c r="H13" s="1" t="n"/>
    </row>
    <row r="14" ht="20" customHeight="1">
      <c r="A14" s="1" t="n"/>
      <c r="B14" s="5" t="inlineStr">
        <is>
          <t>—  Не обсуждай — показывай. Результат скажет за тебя.</t>
        </is>
      </c>
      <c r="H14" s="1" t="n"/>
    </row>
    <row r="15" ht="20" customHeight="1">
      <c r="A15" s="1" t="n"/>
      <c r="B15" s="5" t="inlineStr">
        <is>
          <t>—  Сорвался — не жди понедельника. Начни со следующей галочки.</t>
        </is>
      </c>
      <c r="H15" s="1" t="n"/>
    </row>
    <row r="16" ht="20" customHeight="1">
      <c r="A16" s="1" t="n"/>
      <c r="B16" s="5" t="inlineStr">
        <is>
          <t>—  Меньше экрана, больше жизни. Зима — время строить.</t>
        </is>
      </c>
      <c r="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  <row r="18" ht="20" customHeight="1">
      <c r="A18" s="1" t="n"/>
      <c r="B18" s="4" t="inlineStr">
        <is>
          <t>МОИ 3 ЦЕЛИ К 31.12</t>
        </is>
      </c>
      <c r="H18" s="1" t="n"/>
    </row>
    <row r="19" ht="24" customHeight="1">
      <c r="A19" s="1" t="n"/>
      <c r="B19" s="6" t="inlineStr">
        <is>
          <t>1.</t>
        </is>
      </c>
      <c r="C19" s="7" t="n"/>
      <c r="D19" s="7" t="n"/>
      <c r="E19" s="7" t="n"/>
      <c r="F19" s="7" t="n"/>
      <c r="G19" s="7" t="n"/>
      <c r="H19" s="1" t="n"/>
    </row>
    <row r="20" ht="24" customHeight="1">
      <c r="A20" s="1" t="n"/>
      <c r="B20" s="6" t="inlineStr">
        <is>
          <t>2.</t>
        </is>
      </c>
      <c r="C20" s="7" t="n"/>
      <c r="D20" s="7" t="n"/>
      <c r="E20" s="7" t="n"/>
      <c r="F20" s="7" t="n"/>
      <c r="G20" s="7" t="n"/>
      <c r="H20" s="1" t="n"/>
    </row>
    <row r="21" ht="24" customHeight="1">
      <c r="A21" s="1" t="n"/>
      <c r="B21" s="6" t="inlineStr">
        <is>
          <t>3.</t>
        </is>
      </c>
      <c r="C21" s="7" t="n"/>
      <c r="D21" s="7" t="n"/>
      <c r="E21" s="7" t="n"/>
      <c r="F21" s="7" t="n"/>
      <c r="G21" s="7" t="n"/>
      <c r="H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</row>
    <row r="23" ht="20" customHeight="1">
      <c r="A23" s="1" t="n"/>
      <c r="B23" s="8" t="inlineStr">
        <is>
          <t>СТАРТ 01.10.2026   ·   ФИНИШ 31.12.2026</t>
        </is>
      </c>
      <c r="H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</row>
  </sheetData>
  <mergeCells count="18">
    <mergeCell ref="B3:G3"/>
    <mergeCell ref="B2:G2"/>
    <mergeCell ref="B16:G16"/>
    <mergeCell ref="C21:G21"/>
    <mergeCell ref="B10:G10"/>
    <mergeCell ref="C20:G20"/>
    <mergeCell ref="B5:G5"/>
    <mergeCell ref="B14:G14"/>
    <mergeCell ref="B23:G23"/>
    <mergeCell ref="B9:G9"/>
    <mergeCell ref="B8:G8"/>
    <mergeCell ref="C19:G19"/>
    <mergeCell ref="B12:G12"/>
    <mergeCell ref="B13:G13"/>
    <mergeCell ref="B18:G18"/>
    <mergeCell ref="B15:G15"/>
    <mergeCell ref="B7:G7"/>
    <mergeCell ref="B6:G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8BDF8"/>
    <outlinePr summaryBelow="1" summaryRight="1"/>
    <pageSetUpPr/>
  </sheetPr>
  <dimension ref="A1:R106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8.43" customWidth="1" min="1" max="1"/>
    <col width="5.29" customWidth="1" min="2" max="2"/>
    <col width="11.86" customWidth="1" min="3" max="3"/>
    <col width="11.86" customWidth="1" min="4" max="4"/>
    <col width="11.86" customWidth="1" min="5" max="5"/>
    <col width="11.86" customWidth="1" min="6" max="6"/>
    <col width="11.86" customWidth="1" min="7" max="7"/>
    <col width="11.86" customWidth="1" min="8" max="8"/>
    <col width="11.86" customWidth="1" min="9" max="9"/>
    <col width="11.86" customWidth="1" min="10" max="10"/>
    <col width="7.57" customWidth="1" min="11" max="11"/>
    <col width="14.71" customWidth="1" min="12" max="12"/>
    <col width="8.43" customWidth="1" min="13" max="13"/>
    <col width="8.43" customWidth="1" min="14" max="14"/>
    <col width="8.43" customWidth="1" min="15" max="15"/>
    <col width="33.57" customWidth="1" min="16" max="16"/>
    <col hidden="1" width="3.57" customWidth="1" min="17" max="17"/>
  </cols>
  <sheetData>
    <row r="1" ht="42" customHeight="1">
      <c r="A1" s="9" t="inlineStr">
        <is>
          <t xml:space="preserve">  ❄ WINTER ARC · HIM 2026</t>
        </is>
      </c>
      <c r="Q1" s="1" t="n"/>
      <c r="R1" s="1" t="n"/>
    </row>
    <row r="2" ht="19.5" customHeight="1">
      <c r="A2" s="10" t="inlineStr">
        <is>
          <t xml:space="preserve">   01.10 → 31.12  ·  92 дней  ·  день засчитан при ≥ 80%  ·  не рви серию</t>
        </is>
      </c>
      <c r="Q2" s="1" t="n"/>
      <c r="R2" s="1" t="n"/>
    </row>
    <row r="3" ht="16.5" customHeight="1">
      <c r="A3" s="11" t="inlineStr">
        <is>
          <t>ОБЩИЙ ПРОГРЕСС</t>
        </is>
      </c>
      <c r="B3" s="12" t="n"/>
      <c r="C3" s="12" t="n"/>
      <c r="D3" s="11" t="inlineStr">
        <is>
          <t>ДНЕЙ ЗАСЧИТАНО</t>
        </is>
      </c>
      <c r="E3" s="12" t="n"/>
      <c r="F3" s="12" t="n"/>
      <c r="G3" s="11" t="inlineStr">
        <is>
          <t>СЕРИЯ СЕЙЧАС</t>
        </is>
      </c>
      <c r="H3" s="12" t="n"/>
      <c r="I3" s="12" t="n"/>
      <c r="J3" s="11" t="inlineStr">
        <is>
          <t>ЛУЧШАЯ СЕРИЯ</t>
        </is>
      </c>
      <c r="K3" s="12" t="n"/>
      <c r="L3" s="12" t="n"/>
      <c r="M3" s="11" t="inlineStr">
        <is>
          <t>ДО ФИНИША</t>
        </is>
      </c>
      <c r="N3" s="12" t="n"/>
      <c r="O3" s="12" t="n"/>
      <c r="P3" s="12" t="n"/>
      <c r="Q3" s="1" t="n"/>
      <c r="R3" s="1" t="n"/>
    </row>
    <row r="4" ht="33" customHeight="1">
      <c r="A4" s="13">
        <f>IFERROR(AVERAGEIFS(K9:K100,A9:A100,"&lt;="&amp;TODAY()),0)</f>
        <v/>
      </c>
      <c r="B4" s="12" t="n"/>
      <c r="C4" s="12" t="n"/>
      <c r="D4" s="14">
        <f>COUNTIF(K9:K100,"&gt;="&amp;0.8)</f>
        <v/>
      </c>
      <c r="E4" s="12" t="n"/>
      <c r="F4" s="12" t="n"/>
      <c r="G4" s="14">
        <f>MAX(IFERROR(INDEX(Q9:Q100,MATCH(TODAY(),A9:A100,0)),0),IFERROR(INDEX(Q9:Q100,MATCH(TODAY()-1,A9:A100,0)),0))</f>
        <v/>
      </c>
      <c r="H4" s="12" t="n"/>
      <c r="I4" s="12" t="n"/>
      <c r="J4" s="14">
        <f>MAX(Q9:Q100)</f>
        <v/>
      </c>
      <c r="K4" s="12" t="n"/>
      <c r="L4" s="12" t="n"/>
      <c r="M4" s="15">
        <f>IF(TODAY()&lt;DATE(2026,10,1),"старт через "&amp;(DATE(2026,10,1)-TODAY())&amp;" дн.",IF(TODAY()&gt;(DATE(2026,10,1)+91),"арка пройдена ❄",((DATE(2026,10,1)+91)-TODAY())&amp;" дн."))</f>
        <v/>
      </c>
      <c r="N4" s="12" t="n"/>
      <c r="O4" s="12" t="n"/>
      <c r="P4" s="12" t="n"/>
      <c r="Q4" s="1" t="n"/>
      <c r="R4" s="1" t="n"/>
    </row>
    <row r="5" ht="25.5" customHeight="1">
      <c r="A5" s="16">
        <f>REPT("▰",ROUND(A4*40))&amp;REPT("▱",40-ROUND(A4*40))&amp;"   "&amp;TEXT(A4,"0%")</f>
        <v/>
      </c>
      <c r="Q5" s="1" t="n"/>
      <c r="R5" s="1" t="n"/>
    </row>
    <row r="6" ht="7.5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</row>
    <row r="7" ht="19.5" customHeight="1">
      <c r="A7" s="17" t="inlineStr">
        <is>
          <t>ИТОГ</t>
        </is>
      </c>
      <c r="C7" s="18">
        <f>IFERROR(COUNTIF(C9:C100,TRUE)/COUNTIF(A9:A100,"&lt;="&amp;TODAY()),0)</f>
        <v/>
      </c>
      <c r="D7" s="18">
        <f>IFERROR(COUNTIF(D9:D100,TRUE)/COUNTIF(A9:A100,"&lt;="&amp;TODAY()),0)</f>
        <v/>
      </c>
      <c r="E7" s="18">
        <f>IFERROR(COUNTIF(E9:E100,TRUE)/COUNTIF(A9:A100,"&lt;="&amp;TODAY()),0)</f>
        <v/>
      </c>
      <c r="F7" s="18">
        <f>IFERROR(COUNTIF(F9:F100,TRUE)/COUNTIF(A9:A100,"&lt;="&amp;TODAY()),0)</f>
        <v/>
      </c>
      <c r="G7" s="18">
        <f>IFERROR(COUNTIF(G9:G100,TRUE)/COUNTIF(A9:A100,"&lt;="&amp;TODAY()),0)</f>
        <v/>
      </c>
      <c r="H7" s="18">
        <f>IFERROR(COUNTIF(H9:H100,TRUE)/COUNTIF(A9:A100,"&lt;="&amp;TODAY()),0)</f>
        <v/>
      </c>
      <c r="I7" s="18">
        <f>IFERROR(COUNTIF(I9:I100,TRUE)/COUNTIF(A9:A100,"&lt;="&amp;TODAY()),0)</f>
        <v/>
      </c>
      <c r="J7" s="18">
        <f>IFERROR(COUNTIF(J9:J100,TRUE)/COUNTIF(A9:A100,"&lt;="&amp;TODAY()),0)</f>
        <v/>
      </c>
      <c r="K7" s="18">
        <f>A4</f>
        <v/>
      </c>
      <c r="L7" s="1" t="n"/>
      <c r="M7" s="1" t="n"/>
      <c r="N7" s="1" t="n"/>
      <c r="O7" s="1" t="n"/>
      <c r="P7" s="1" t="n"/>
      <c r="Q7" s="1" t="n"/>
      <c r="R7" s="1" t="n"/>
    </row>
    <row r="8" ht="43.5" customHeight="1">
      <c r="A8" s="19" t="inlineStr">
        <is>
          <t>ДАТА</t>
        </is>
      </c>
      <c r="B8" s="19" t="inlineStr">
        <is>
          <t>ДЕНЬ</t>
        </is>
      </c>
      <c r="C8" s="20" t="inlineStr">
        <is>
          <t>🌅 Подъём до 6:30</t>
        </is>
      </c>
      <c r="D8" s="20" t="inlineStr">
        <is>
          <t>🏋️ Тренировка</t>
        </is>
      </c>
      <c r="E8" s="20" t="inlineStr">
        <is>
          <t>🚿 Холодный душ</t>
        </is>
      </c>
      <c r="F8" s="20" t="inlineStr">
        <is>
          <t>📖 Чтение 20 мин</t>
        </is>
      </c>
      <c r="G8" s="20" t="inlineStr">
        <is>
          <t>💧 2 л воды</t>
        </is>
      </c>
      <c r="H8" s="20" t="inlineStr">
        <is>
          <t>🥩 Белок и чистое питание</t>
        </is>
      </c>
      <c r="I8" s="20" t="inlineStr">
        <is>
          <t>📵 Без соцсетей до 12:00</t>
        </is>
      </c>
      <c r="J8" s="20" t="inlineStr">
        <is>
          <t>🎯 1 час на цель</t>
        </is>
      </c>
      <c r="K8" s="19" t="inlineStr">
        <is>
          <t>%</t>
        </is>
      </c>
      <c r="L8" s="19" t="inlineStr">
        <is>
          <t>ПРОГРЕСС</t>
        </is>
      </c>
      <c r="M8" s="19" t="inlineStr">
        <is>
          <t>СОН, ч</t>
        </is>
      </c>
      <c r="N8" s="19" t="inlineStr">
        <is>
          <t>ВЕС</t>
        </is>
      </c>
      <c r="O8" s="19" t="inlineStr">
        <is>
          <t>НАСТР. 1–5</t>
        </is>
      </c>
      <c r="P8" s="19" t="inlineStr">
        <is>
          <t>ЗАМЕТКА ДНЯ</t>
        </is>
      </c>
      <c r="Q8" s="21" t="inlineStr"/>
      <c r="R8" s="1" t="n"/>
    </row>
    <row r="9" ht="21" customHeight="1">
      <c r="A9" s="22">
        <f>DATE(2026,10,1)+0</f>
        <v/>
      </c>
      <c r="B9" s="23">
        <f>CHOOSE(WEEKDAY(A9,2),"Пн","Вт","Ср","Чт","Пт","Сб","Вс")</f>
        <v/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5">
        <f>COUNTIF(C9:J9,TRUE)/8</f>
        <v/>
      </c>
      <c r="L9" s="26">
        <f>REPT("▰",ROUND(K9*10))&amp;REPT("▱",10-ROUND(K9*10))</f>
        <v/>
      </c>
      <c r="M9" s="27" t="n"/>
      <c r="N9" s="27" t="n"/>
      <c r="O9" s="24" t="n"/>
      <c r="P9" s="28" t="n"/>
      <c r="Q9" s="1">
        <f>IF(K9&gt;=0.8,1,0)</f>
        <v/>
      </c>
      <c r="R9" s="1" t="n"/>
    </row>
    <row r="10" ht="21" customHeight="1">
      <c r="A10" s="22">
        <f>DATE(2026,10,1)+1</f>
        <v/>
      </c>
      <c r="B10" s="23">
        <f>CHOOSE(WEEKDAY(A10,2),"Пн","Вт","Ср","Чт","Пт","Сб","Вс")</f>
        <v/>
      </c>
      <c r="C10" s="24" t="n"/>
      <c r="D10" s="24" t="n"/>
      <c r="E10" s="24" t="n"/>
      <c r="F10" s="24" t="n"/>
      <c r="G10" s="24" t="n"/>
      <c r="H10" s="24" t="n"/>
      <c r="I10" s="24" t="n"/>
      <c r="J10" s="24" t="n"/>
      <c r="K10" s="25">
        <f>COUNTIF(C10:J10,TRUE)/8</f>
        <v/>
      </c>
      <c r="L10" s="26">
        <f>REPT("▰",ROUND(K10*10))&amp;REPT("▱",10-ROUND(K10*10))</f>
        <v/>
      </c>
      <c r="M10" s="27" t="n"/>
      <c r="N10" s="27" t="n"/>
      <c r="O10" s="24" t="n"/>
      <c r="P10" s="28" t="n"/>
      <c r="Q10" s="1">
        <f>IF(K10&gt;=0.8,Q9+1,0)</f>
        <v/>
      </c>
      <c r="R10" s="1" t="n"/>
    </row>
    <row r="11" ht="21" customHeight="1">
      <c r="A11" s="22">
        <f>DATE(2026,10,1)+2</f>
        <v/>
      </c>
      <c r="B11" s="23">
        <f>CHOOSE(WEEKDAY(A11,2),"Пн","Вт","Ср","Чт","Пт","Сб","Вс")</f>
        <v/>
      </c>
      <c r="C11" s="24" t="n"/>
      <c r="D11" s="24" t="n"/>
      <c r="E11" s="24" t="n"/>
      <c r="F11" s="24" t="n"/>
      <c r="G11" s="24" t="n"/>
      <c r="H11" s="24" t="n"/>
      <c r="I11" s="24" t="n"/>
      <c r="J11" s="24" t="n"/>
      <c r="K11" s="25">
        <f>COUNTIF(C11:J11,TRUE)/8</f>
        <v/>
      </c>
      <c r="L11" s="26">
        <f>REPT("▰",ROUND(K11*10))&amp;REPT("▱",10-ROUND(K11*10))</f>
        <v/>
      </c>
      <c r="M11" s="27" t="n"/>
      <c r="N11" s="27" t="n"/>
      <c r="O11" s="24" t="n"/>
      <c r="P11" s="28" t="n"/>
      <c r="Q11" s="1">
        <f>IF(K11&gt;=0.8,Q10+1,0)</f>
        <v/>
      </c>
      <c r="R11" s="1" t="n"/>
    </row>
    <row r="12" ht="21" customHeight="1">
      <c r="A12" s="22">
        <f>DATE(2026,10,1)+3</f>
        <v/>
      </c>
      <c r="B12" s="23">
        <f>CHOOSE(WEEKDAY(A12,2),"Пн","Вт","Ср","Чт","Пт","Сб","Вс")</f>
        <v/>
      </c>
      <c r="C12" s="24" t="n"/>
      <c r="D12" s="24" t="n"/>
      <c r="E12" s="24" t="n"/>
      <c r="F12" s="24" t="n"/>
      <c r="G12" s="24" t="n"/>
      <c r="H12" s="24" t="n"/>
      <c r="I12" s="24" t="n"/>
      <c r="J12" s="24" t="n"/>
      <c r="K12" s="25">
        <f>COUNTIF(C12:J12,TRUE)/8</f>
        <v/>
      </c>
      <c r="L12" s="26">
        <f>REPT("▰",ROUND(K12*10))&amp;REPT("▱",10-ROUND(K12*10))</f>
        <v/>
      </c>
      <c r="M12" s="27" t="n"/>
      <c r="N12" s="27" t="n"/>
      <c r="O12" s="24" t="n"/>
      <c r="P12" s="28" t="n"/>
      <c r="Q12" s="1">
        <f>IF(K12&gt;=0.8,Q11+1,0)</f>
        <v/>
      </c>
      <c r="R12" s="1" t="n"/>
    </row>
    <row r="13" ht="21" customHeight="1">
      <c r="A13" s="22">
        <f>DATE(2026,10,1)+4</f>
        <v/>
      </c>
      <c r="B13" s="23">
        <f>CHOOSE(WEEKDAY(A13,2),"Пн","Вт","Ср","Чт","Пт","Сб","Вс")</f>
        <v/>
      </c>
      <c r="C13" s="24" t="n"/>
      <c r="D13" s="24" t="n"/>
      <c r="E13" s="24" t="n"/>
      <c r="F13" s="24" t="n"/>
      <c r="G13" s="24" t="n"/>
      <c r="H13" s="24" t="n"/>
      <c r="I13" s="24" t="n"/>
      <c r="J13" s="24" t="n"/>
      <c r="K13" s="25">
        <f>COUNTIF(C13:J13,TRUE)/8</f>
        <v/>
      </c>
      <c r="L13" s="26">
        <f>REPT("▰",ROUND(K13*10))&amp;REPT("▱",10-ROUND(K13*10))</f>
        <v/>
      </c>
      <c r="M13" s="27" t="n"/>
      <c r="N13" s="27" t="n"/>
      <c r="O13" s="24" t="n"/>
      <c r="P13" s="28" t="n"/>
      <c r="Q13" s="1">
        <f>IF(K13&gt;=0.8,Q12+1,0)</f>
        <v/>
      </c>
      <c r="R13" s="1" t="n"/>
    </row>
    <row r="14" ht="21" customHeight="1">
      <c r="A14" s="22">
        <f>DATE(2026,10,1)+5</f>
        <v/>
      </c>
      <c r="B14" s="23">
        <f>CHOOSE(WEEKDAY(A14,2),"Пн","Вт","Ср","Чт","Пт","Сб","Вс")</f>
        <v/>
      </c>
      <c r="C14" s="24" t="n"/>
      <c r="D14" s="24" t="n"/>
      <c r="E14" s="24" t="n"/>
      <c r="F14" s="24" t="n"/>
      <c r="G14" s="24" t="n"/>
      <c r="H14" s="24" t="n"/>
      <c r="I14" s="24" t="n"/>
      <c r="J14" s="24" t="n"/>
      <c r="K14" s="25">
        <f>COUNTIF(C14:J14,TRUE)/8</f>
        <v/>
      </c>
      <c r="L14" s="26">
        <f>REPT("▰",ROUND(K14*10))&amp;REPT("▱",10-ROUND(K14*10))</f>
        <v/>
      </c>
      <c r="M14" s="27" t="n"/>
      <c r="N14" s="27" t="n"/>
      <c r="O14" s="24" t="n"/>
      <c r="P14" s="28" t="n"/>
      <c r="Q14" s="1">
        <f>IF(K14&gt;=0.8,Q13+1,0)</f>
        <v/>
      </c>
      <c r="R14" s="1" t="n"/>
    </row>
    <row r="15" ht="21" customHeight="1">
      <c r="A15" s="22">
        <f>DATE(2026,10,1)+6</f>
        <v/>
      </c>
      <c r="B15" s="23">
        <f>CHOOSE(WEEKDAY(A15,2),"Пн","Вт","Ср","Чт","Пт","Сб","Вс")</f>
        <v/>
      </c>
      <c r="C15" s="24" t="n"/>
      <c r="D15" s="24" t="n"/>
      <c r="E15" s="24" t="n"/>
      <c r="F15" s="24" t="n"/>
      <c r="G15" s="24" t="n"/>
      <c r="H15" s="24" t="n"/>
      <c r="I15" s="24" t="n"/>
      <c r="J15" s="24" t="n"/>
      <c r="K15" s="25">
        <f>COUNTIF(C15:J15,TRUE)/8</f>
        <v/>
      </c>
      <c r="L15" s="26">
        <f>REPT("▰",ROUND(K15*10))&amp;REPT("▱",10-ROUND(K15*10))</f>
        <v/>
      </c>
      <c r="M15" s="27" t="n"/>
      <c r="N15" s="27" t="n"/>
      <c r="O15" s="24" t="n"/>
      <c r="P15" s="28" t="n"/>
      <c r="Q15" s="1">
        <f>IF(K15&gt;=0.8,Q14+1,0)</f>
        <v/>
      </c>
      <c r="R15" s="1" t="n"/>
    </row>
    <row r="16" ht="21" customHeight="1">
      <c r="A16" s="22">
        <f>DATE(2026,10,1)+7</f>
        <v/>
      </c>
      <c r="B16" s="23">
        <f>CHOOSE(WEEKDAY(A16,2),"Пн","Вт","Ср","Чт","Пт","Сб","Вс")</f>
        <v/>
      </c>
      <c r="C16" s="24" t="n"/>
      <c r="D16" s="24" t="n"/>
      <c r="E16" s="24" t="n"/>
      <c r="F16" s="24" t="n"/>
      <c r="G16" s="24" t="n"/>
      <c r="H16" s="24" t="n"/>
      <c r="I16" s="24" t="n"/>
      <c r="J16" s="24" t="n"/>
      <c r="K16" s="25">
        <f>COUNTIF(C16:J16,TRUE)/8</f>
        <v/>
      </c>
      <c r="L16" s="26">
        <f>REPT("▰",ROUND(K16*10))&amp;REPT("▱",10-ROUND(K16*10))</f>
        <v/>
      </c>
      <c r="M16" s="27" t="n"/>
      <c r="N16" s="27" t="n"/>
      <c r="O16" s="24" t="n"/>
      <c r="P16" s="28" t="n"/>
      <c r="Q16" s="1">
        <f>IF(K16&gt;=0.8,Q15+1,0)</f>
        <v/>
      </c>
      <c r="R16" s="1" t="n"/>
    </row>
    <row r="17" ht="21" customHeight="1">
      <c r="A17" s="22">
        <f>DATE(2026,10,1)+8</f>
        <v/>
      </c>
      <c r="B17" s="23">
        <f>CHOOSE(WEEKDAY(A17,2),"Пн","Вт","Ср","Чт","Пт","Сб","Вс")</f>
        <v/>
      </c>
      <c r="C17" s="24" t="n"/>
      <c r="D17" s="24" t="n"/>
      <c r="E17" s="24" t="n"/>
      <c r="F17" s="24" t="n"/>
      <c r="G17" s="24" t="n"/>
      <c r="H17" s="24" t="n"/>
      <c r="I17" s="24" t="n"/>
      <c r="J17" s="24" t="n"/>
      <c r="K17" s="25">
        <f>COUNTIF(C17:J17,TRUE)/8</f>
        <v/>
      </c>
      <c r="L17" s="26">
        <f>REPT("▰",ROUND(K17*10))&amp;REPT("▱",10-ROUND(K17*10))</f>
        <v/>
      </c>
      <c r="M17" s="27" t="n"/>
      <c r="N17" s="27" t="n"/>
      <c r="O17" s="24" t="n"/>
      <c r="P17" s="28" t="n"/>
      <c r="Q17" s="1">
        <f>IF(K17&gt;=0.8,Q16+1,0)</f>
        <v/>
      </c>
      <c r="R17" s="1" t="n"/>
    </row>
    <row r="18" ht="21" customHeight="1">
      <c r="A18" s="22">
        <f>DATE(2026,10,1)+9</f>
        <v/>
      </c>
      <c r="B18" s="23">
        <f>CHOOSE(WEEKDAY(A18,2),"Пн","Вт","Ср","Чт","Пт","Сб","Вс")</f>
        <v/>
      </c>
      <c r="C18" s="24" t="n"/>
      <c r="D18" s="24" t="n"/>
      <c r="E18" s="24" t="n"/>
      <c r="F18" s="24" t="n"/>
      <c r="G18" s="24" t="n"/>
      <c r="H18" s="24" t="n"/>
      <c r="I18" s="24" t="n"/>
      <c r="J18" s="24" t="n"/>
      <c r="K18" s="25">
        <f>COUNTIF(C18:J18,TRUE)/8</f>
        <v/>
      </c>
      <c r="L18" s="26">
        <f>REPT("▰",ROUND(K18*10))&amp;REPT("▱",10-ROUND(K18*10))</f>
        <v/>
      </c>
      <c r="M18" s="27" t="n"/>
      <c r="N18" s="27" t="n"/>
      <c r="O18" s="24" t="n"/>
      <c r="P18" s="28" t="n"/>
      <c r="Q18" s="1">
        <f>IF(K18&gt;=0.8,Q17+1,0)</f>
        <v/>
      </c>
      <c r="R18" s="1" t="n"/>
    </row>
    <row r="19" ht="21" customHeight="1">
      <c r="A19" s="22">
        <f>DATE(2026,10,1)+10</f>
        <v/>
      </c>
      <c r="B19" s="23">
        <f>CHOOSE(WEEKDAY(A19,2),"Пн","Вт","Ср","Чт","Пт","Сб","Вс")</f>
        <v/>
      </c>
      <c r="C19" s="24" t="n"/>
      <c r="D19" s="24" t="n"/>
      <c r="E19" s="24" t="n"/>
      <c r="F19" s="24" t="n"/>
      <c r="G19" s="24" t="n"/>
      <c r="H19" s="24" t="n"/>
      <c r="I19" s="24" t="n"/>
      <c r="J19" s="24" t="n"/>
      <c r="K19" s="25">
        <f>COUNTIF(C19:J19,TRUE)/8</f>
        <v/>
      </c>
      <c r="L19" s="26">
        <f>REPT("▰",ROUND(K19*10))&amp;REPT("▱",10-ROUND(K19*10))</f>
        <v/>
      </c>
      <c r="M19" s="27" t="n"/>
      <c r="N19" s="27" t="n"/>
      <c r="O19" s="24" t="n"/>
      <c r="P19" s="28" t="n"/>
      <c r="Q19" s="1">
        <f>IF(K19&gt;=0.8,Q18+1,0)</f>
        <v/>
      </c>
      <c r="R19" s="1" t="n"/>
    </row>
    <row r="20" ht="21" customHeight="1">
      <c r="A20" s="22">
        <f>DATE(2026,10,1)+11</f>
        <v/>
      </c>
      <c r="B20" s="23">
        <f>CHOOSE(WEEKDAY(A20,2),"Пн","Вт","Ср","Чт","Пт","Сб","Вс")</f>
        <v/>
      </c>
      <c r="C20" s="24" t="n"/>
      <c r="D20" s="24" t="n"/>
      <c r="E20" s="24" t="n"/>
      <c r="F20" s="24" t="n"/>
      <c r="G20" s="24" t="n"/>
      <c r="H20" s="24" t="n"/>
      <c r="I20" s="24" t="n"/>
      <c r="J20" s="24" t="n"/>
      <c r="K20" s="25">
        <f>COUNTIF(C20:J20,TRUE)/8</f>
        <v/>
      </c>
      <c r="L20" s="26">
        <f>REPT("▰",ROUND(K20*10))&amp;REPT("▱",10-ROUND(K20*10))</f>
        <v/>
      </c>
      <c r="M20" s="27" t="n"/>
      <c r="N20" s="27" t="n"/>
      <c r="O20" s="24" t="n"/>
      <c r="P20" s="28" t="n"/>
      <c r="Q20" s="1">
        <f>IF(K20&gt;=0.8,Q19+1,0)</f>
        <v/>
      </c>
      <c r="R20" s="1" t="n"/>
    </row>
    <row r="21" ht="21" customHeight="1">
      <c r="A21" s="22">
        <f>DATE(2026,10,1)+12</f>
        <v/>
      </c>
      <c r="B21" s="23">
        <f>CHOOSE(WEEKDAY(A21,2),"Пн","Вт","Ср","Чт","Пт","Сб","Вс")</f>
        <v/>
      </c>
      <c r="C21" s="24" t="n"/>
      <c r="D21" s="24" t="n"/>
      <c r="E21" s="24" t="n"/>
      <c r="F21" s="24" t="n"/>
      <c r="G21" s="24" t="n"/>
      <c r="H21" s="24" t="n"/>
      <c r="I21" s="24" t="n"/>
      <c r="J21" s="24" t="n"/>
      <c r="K21" s="25">
        <f>COUNTIF(C21:J21,TRUE)/8</f>
        <v/>
      </c>
      <c r="L21" s="26">
        <f>REPT("▰",ROUND(K21*10))&amp;REPT("▱",10-ROUND(K21*10))</f>
        <v/>
      </c>
      <c r="M21" s="27" t="n"/>
      <c r="N21" s="27" t="n"/>
      <c r="O21" s="24" t="n"/>
      <c r="P21" s="28" t="n"/>
      <c r="Q21" s="1">
        <f>IF(K21&gt;=0.8,Q20+1,0)</f>
        <v/>
      </c>
      <c r="R21" s="1" t="n"/>
    </row>
    <row r="22" ht="21" customHeight="1">
      <c r="A22" s="22">
        <f>DATE(2026,10,1)+13</f>
        <v/>
      </c>
      <c r="B22" s="23">
        <f>CHOOSE(WEEKDAY(A22,2),"Пн","Вт","Ср","Чт","Пт","Сб","Вс")</f>
        <v/>
      </c>
      <c r="C22" s="24" t="n"/>
      <c r="D22" s="24" t="n"/>
      <c r="E22" s="24" t="n"/>
      <c r="F22" s="24" t="n"/>
      <c r="G22" s="24" t="n"/>
      <c r="H22" s="24" t="n"/>
      <c r="I22" s="24" t="n"/>
      <c r="J22" s="24" t="n"/>
      <c r="K22" s="25">
        <f>COUNTIF(C22:J22,TRUE)/8</f>
        <v/>
      </c>
      <c r="L22" s="26">
        <f>REPT("▰",ROUND(K22*10))&amp;REPT("▱",10-ROUND(K22*10))</f>
        <v/>
      </c>
      <c r="M22" s="27" t="n"/>
      <c r="N22" s="27" t="n"/>
      <c r="O22" s="24" t="n"/>
      <c r="P22" s="28" t="n"/>
      <c r="Q22" s="1">
        <f>IF(K22&gt;=0.8,Q21+1,0)</f>
        <v/>
      </c>
      <c r="R22" s="1" t="n"/>
    </row>
    <row r="23" ht="21" customHeight="1">
      <c r="A23" s="22">
        <f>DATE(2026,10,1)+14</f>
        <v/>
      </c>
      <c r="B23" s="23">
        <f>CHOOSE(WEEKDAY(A23,2),"Пн","Вт","Ср","Чт","Пт","Сб","Вс")</f>
        <v/>
      </c>
      <c r="C23" s="24" t="n"/>
      <c r="D23" s="24" t="n"/>
      <c r="E23" s="24" t="n"/>
      <c r="F23" s="24" t="n"/>
      <c r="G23" s="24" t="n"/>
      <c r="H23" s="24" t="n"/>
      <c r="I23" s="24" t="n"/>
      <c r="J23" s="24" t="n"/>
      <c r="K23" s="25">
        <f>COUNTIF(C23:J23,TRUE)/8</f>
        <v/>
      </c>
      <c r="L23" s="26">
        <f>REPT("▰",ROUND(K23*10))&amp;REPT("▱",10-ROUND(K23*10))</f>
        <v/>
      </c>
      <c r="M23" s="27" t="n"/>
      <c r="N23" s="27" t="n"/>
      <c r="O23" s="24" t="n"/>
      <c r="P23" s="28" t="n"/>
      <c r="Q23" s="1">
        <f>IF(K23&gt;=0.8,Q22+1,0)</f>
        <v/>
      </c>
      <c r="R23" s="1" t="n"/>
    </row>
    <row r="24" ht="21" customHeight="1">
      <c r="A24" s="22">
        <f>DATE(2026,10,1)+15</f>
        <v/>
      </c>
      <c r="B24" s="23">
        <f>CHOOSE(WEEKDAY(A24,2),"Пн","Вт","Ср","Чт","Пт","Сб","Вс")</f>
        <v/>
      </c>
      <c r="C24" s="24" t="n"/>
      <c r="D24" s="24" t="n"/>
      <c r="E24" s="24" t="n"/>
      <c r="F24" s="24" t="n"/>
      <c r="G24" s="24" t="n"/>
      <c r="H24" s="24" t="n"/>
      <c r="I24" s="24" t="n"/>
      <c r="J24" s="24" t="n"/>
      <c r="K24" s="25">
        <f>COUNTIF(C24:J24,TRUE)/8</f>
        <v/>
      </c>
      <c r="L24" s="26">
        <f>REPT("▰",ROUND(K24*10))&amp;REPT("▱",10-ROUND(K24*10))</f>
        <v/>
      </c>
      <c r="M24" s="27" t="n"/>
      <c r="N24" s="27" t="n"/>
      <c r="O24" s="24" t="n"/>
      <c r="P24" s="28" t="n"/>
      <c r="Q24" s="1">
        <f>IF(K24&gt;=0.8,Q23+1,0)</f>
        <v/>
      </c>
      <c r="R24" s="1" t="n"/>
    </row>
    <row r="25" ht="21" customHeight="1">
      <c r="A25" s="22">
        <f>DATE(2026,10,1)+16</f>
        <v/>
      </c>
      <c r="B25" s="23">
        <f>CHOOSE(WEEKDAY(A25,2),"Пн","Вт","Ср","Чт","Пт","Сб","Вс")</f>
        <v/>
      </c>
      <c r="C25" s="24" t="n"/>
      <c r="D25" s="24" t="n"/>
      <c r="E25" s="24" t="n"/>
      <c r="F25" s="24" t="n"/>
      <c r="G25" s="24" t="n"/>
      <c r="H25" s="24" t="n"/>
      <c r="I25" s="24" t="n"/>
      <c r="J25" s="24" t="n"/>
      <c r="K25" s="25">
        <f>COUNTIF(C25:J25,TRUE)/8</f>
        <v/>
      </c>
      <c r="L25" s="26">
        <f>REPT("▰",ROUND(K25*10))&amp;REPT("▱",10-ROUND(K25*10))</f>
        <v/>
      </c>
      <c r="M25" s="27" t="n"/>
      <c r="N25" s="27" t="n"/>
      <c r="O25" s="24" t="n"/>
      <c r="P25" s="28" t="n"/>
      <c r="Q25" s="1">
        <f>IF(K25&gt;=0.8,Q24+1,0)</f>
        <v/>
      </c>
      <c r="R25" s="1" t="n"/>
    </row>
    <row r="26" ht="21" customHeight="1">
      <c r="A26" s="22">
        <f>DATE(2026,10,1)+17</f>
        <v/>
      </c>
      <c r="B26" s="23">
        <f>CHOOSE(WEEKDAY(A26,2),"Пн","Вт","Ср","Чт","Пт","Сб","Вс")</f>
        <v/>
      </c>
      <c r="C26" s="24" t="n"/>
      <c r="D26" s="24" t="n"/>
      <c r="E26" s="24" t="n"/>
      <c r="F26" s="24" t="n"/>
      <c r="G26" s="24" t="n"/>
      <c r="H26" s="24" t="n"/>
      <c r="I26" s="24" t="n"/>
      <c r="J26" s="24" t="n"/>
      <c r="K26" s="25">
        <f>COUNTIF(C26:J26,TRUE)/8</f>
        <v/>
      </c>
      <c r="L26" s="26">
        <f>REPT("▰",ROUND(K26*10))&amp;REPT("▱",10-ROUND(K26*10))</f>
        <v/>
      </c>
      <c r="M26" s="27" t="n"/>
      <c r="N26" s="27" t="n"/>
      <c r="O26" s="24" t="n"/>
      <c r="P26" s="28" t="n"/>
      <c r="Q26" s="1">
        <f>IF(K26&gt;=0.8,Q25+1,0)</f>
        <v/>
      </c>
      <c r="R26" s="1" t="n"/>
    </row>
    <row r="27" ht="21" customHeight="1">
      <c r="A27" s="22">
        <f>DATE(2026,10,1)+18</f>
        <v/>
      </c>
      <c r="B27" s="23">
        <f>CHOOSE(WEEKDAY(A27,2),"Пн","Вт","Ср","Чт","Пт","Сб","Вс")</f>
        <v/>
      </c>
      <c r="C27" s="24" t="n"/>
      <c r="D27" s="24" t="n"/>
      <c r="E27" s="24" t="n"/>
      <c r="F27" s="24" t="n"/>
      <c r="G27" s="24" t="n"/>
      <c r="H27" s="24" t="n"/>
      <c r="I27" s="24" t="n"/>
      <c r="J27" s="24" t="n"/>
      <c r="K27" s="25">
        <f>COUNTIF(C27:J27,TRUE)/8</f>
        <v/>
      </c>
      <c r="L27" s="26">
        <f>REPT("▰",ROUND(K27*10))&amp;REPT("▱",10-ROUND(K27*10))</f>
        <v/>
      </c>
      <c r="M27" s="27" t="n"/>
      <c r="N27" s="27" t="n"/>
      <c r="O27" s="24" t="n"/>
      <c r="P27" s="28" t="n"/>
      <c r="Q27" s="1">
        <f>IF(K27&gt;=0.8,Q26+1,0)</f>
        <v/>
      </c>
      <c r="R27" s="1" t="n"/>
    </row>
    <row r="28" ht="21" customHeight="1">
      <c r="A28" s="22">
        <f>DATE(2026,10,1)+19</f>
        <v/>
      </c>
      <c r="B28" s="23">
        <f>CHOOSE(WEEKDAY(A28,2),"Пн","Вт","Ср","Чт","Пт","Сб","Вс")</f>
        <v/>
      </c>
      <c r="C28" s="24" t="n"/>
      <c r="D28" s="24" t="n"/>
      <c r="E28" s="24" t="n"/>
      <c r="F28" s="24" t="n"/>
      <c r="G28" s="24" t="n"/>
      <c r="H28" s="24" t="n"/>
      <c r="I28" s="24" t="n"/>
      <c r="J28" s="24" t="n"/>
      <c r="K28" s="25">
        <f>COUNTIF(C28:J28,TRUE)/8</f>
        <v/>
      </c>
      <c r="L28" s="26">
        <f>REPT("▰",ROUND(K28*10))&amp;REPT("▱",10-ROUND(K28*10))</f>
        <v/>
      </c>
      <c r="M28" s="27" t="n"/>
      <c r="N28" s="27" t="n"/>
      <c r="O28" s="24" t="n"/>
      <c r="P28" s="28" t="n"/>
      <c r="Q28" s="1">
        <f>IF(K28&gt;=0.8,Q27+1,0)</f>
        <v/>
      </c>
      <c r="R28" s="1" t="n"/>
    </row>
    <row r="29" ht="21" customHeight="1">
      <c r="A29" s="22">
        <f>DATE(2026,10,1)+20</f>
        <v/>
      </c>
      <c r="B29" s="23">
        <f>CHOOSE(WEEKDAY(A29,2),"Пн","Вт","Ср","Чт","Пт","Сб","Вс")</f>
        <v/>
      </c>
      <c r="C29" s="24" t="n"/>
      <c r="D29" s="24" t="n"/>
      <c r="E29" s="24" t="n"/>
      <c r="F29" s="24" t="n"/>
      <c r="G29" s="24" t="n"/>
      <c r="H29" s="24" t="n"/>
      <c r="I29" s="24" t="n"/>
      <c r="J29" s="24" t="n"/>
      <c r="K29" s="25">
        <f>COUNTIF(C29:J29,TRUE)/8</f>
        <v/>
      </c>
      <c r="L29" s="26">
        <f>REPT("▰",ROUND(K29*10))&amp;REPT("▱",10-ROUND(K29*10))</f>
        <v/>
      </c>
      <c r="M29" s="27" t="n"/>
      <c r="N29" s="27" t="n"/>
      <c r="O29" s="24" t="n"/>
      <c r="P29" s="28" t="n"/>
      <c r="Q29" s="1">
        <f>IF(K29&gt;=0.8,Q28+1,0)</f>
        <v/>
      </c>
      <c r="R29" s="1" t="n"/>
    </row>
    <row r="30" ht="21" customHeight="1">
      <c r="A30" s="22">
        <f>DATE(2026,10,1)+21</f>
        <v/>
      </c>
      <c r="B30" s="23">
        <f>CHOOSE(WEEKDAY(A30,2),"Пн","Вт","Ср","Чт","Пт","Сб","Вс")</f>
        <v/>
      </c>
      <c r="C30" s="24" t="n"/>
      <c r="D30" s="24" t="n"/>
      <c r="E30" s="24" t="n"/>
      <c r="F30" s="24" t="n"/>
      <c r="G30" s="24" t="n"/>
      <c r="H30" s="24" t="n"/>
      <c r="I30" s="24" t="n"/>
      <c r="J30" s="24" t="n"/>
      <c r="K30" s="25">
        <f>COUNTIF(C30:J30,TRUE)/8</f>
        <v/>
      </c>
      <c r="L30" s="26">
        <f>REPT("▰",ROUND(K30*10))&amp;REPT("▱",10-ROUND(K30*10))</f>
        <v/>
      </c>
      <c r="M30" s="27" t="n"/>
      <c r="N30" s="27" t="n"/>
      <c r="O30" s="24" t="n"/>
      <c r="P30" s="28" t="n"/>
      <c r="Q30" s="1">
        <f>IF(K30&gt;=0.8,Q29+1,0)</f>
        <v/>
      </c>
      <c r="R30" s="1" t="n"/>
    </row>
    <row r="31" ht="21" customHeight="1">
      <c r="A31" s="22">
        <f>DATE(2026,10,1)+22</f>
        <v/>
      </c>
      <c r="B31" s="23">
        <f>CHOOSE(WEEKDAY(A31,2),"Пн","Вт","Ср","Чт","Пт","Сб","Вс")</f>
        <v/>
      </c>
      <c r="C31" s="24" t="n"/>
      <c r="D31" s="24" t="n"/>
      <c r="E31" s="24" t="n"/>
      <c r="F31" s="24" t="n"/>
      <c r="G31" s="24" t="n"/>
      <c r="H31" s="24" t="n"/>
      <c r="I31" s="24" t="n"/>
      <c r="J31" s="24" t="n"/>
      <c r="K31" s="25">
        <f>COUNTIF(C31:J31,TRUE)/8</f>
        <v/>
      </c>
      <c r="L31" s="26">
        <f>REPT("▰",ROUND(K31*10))&amp;REPT("▱",10-ROUND(K31*10))</f>
        <v/>
      </c>
      <c r="M31" s="27" t="n"/>
      <c r="N31" s="27" t="n"/>
      <c r="O31" s="24" t="n"/>
      <c r="P31" s="28" t="n"/>
      <c r="Q31" s="1">
        <f>IF(K31&gt;=0.8,Q30+1,0)</f>
        <v/>
      </c>
      <c r="R31" s="1" t="n"/>
    </row>
    <row r="32" ht="21" customHeight="1">
      <c r="A32" s="22">
        <f>DATE(2026,10,1)+23</f>
        <v/>
      </c>
      <c r="B32" s="23">
        <f>CHOOSE(WEEKDAY(A32,2),"Пн","Вт","Ср","Чт","Пт","Сб","Вс")</f>
        <v/>
      </c>
      <c r="C32" s="24" t="n"/>
      <c r="D32" s="24" t="n"/>
      <c r="E32" s="24" t="n"/>
      <c r="F32" s="24" t="n"/>
      <c r="G32" s="24" t="n"/>
      <c r="H32" s="24" t="n"/>
      <c r="I32" s="24" t="n"/>
      <c r="J32" s="24" t="n"/>
      <c r="K32" s="25">
        <f>COUNTIF(C32:J32,TRUE)/8</f>
        <v/>
      </c>
      <c r="L32" s="26">
        <f>REPT("▰",ROUND(K32*10))&amp;REPT("▱",10-ROUND(K32*10))</f>
        <v/>
      </c>
      <c r="M32" s="27" t="n"/>
      <c r="N32" s="27" t="n"/>
      <c r="O32" s="24" t="n"/>
      <c r="P32" s="28" t="n"/>
      <c r="Q32" s="1">
        <f>IF(K32&gt;=0.8,Q31+1,0)</f>
        <v/>
      </c>
      <c r="R32" s="1" t="n"/>
    </row>
    <row r="33" ht="21" customHeight="1">
      <c r="A33" s="22">
        <f>DATE(2026,10,1)+24</f>
        <v/>
      </c>
      <c r="B33" s="23">
        <f>CHOOSE(WEEKDAY(A33,2),"Пн","Вт","Ср","Чт","Пт","Сб","Вс")</f>
        <v/>
      </c>
      <c r="C33" s="24" t="n"/>
      <c r="D33" s="24" t="n"/>
      <c r="E33" s="24" t="n"/>
      <c r="F33" s="24" t="n"/>
      <c r="G33" s="24" t="n"/>
      <c r="H33" s="24" t="n"/>
      <c r="I33" s="24" t="n"/>
      <c r="J33" s="24" t="n"/>
      <c r="K33" s="25">
        <f>COUNTIF(C33:J33,TRUE)/8</f>
        <v/>
      </c>
      <c r="L33" s="26">
        <f>REPT("▰",ROUND(K33*10))&amp;REPT("▱",10-ROUND(K33*10))</f>
        <v/>
      </c>
      <c r="M33" s="27" t="n"/>
      <c r="N33" s="27" t="n"/>
      <c r="O33" s="24" t="n"/>
      <c r="P33" s="28" t="n"/>
      <c r="Q33" s="1">
        <f>IF(K33&gt;=0.8,Q32+1,0)</f>
        <v/>
      </c>
      <c r="R33" s="1" t="n"/>
    </row>
    <row r="34" ht="21" customHeight="1">
      <c r="A34" s="22">
        <f>DATE(2026,10,1)+25</f>
        <v/>
      </c>
      <c r="B34" s="23">
        <f>CHOOSE(WEEKDAY(A34,2),"Пн","Вт","Ср","Чт","Пт","Сб","Вс")</f>
        <v/>
      </c>
      <c r="C34" s="24" t="n"/>
      <c r="D34" s="24" t="n"/>
      <c r="E34" s="24" t="n"/>
      <c r="F34" s="24" t="n"/>
      <c r="G34" s="24" t="n"/>
      <c r="H34" s="24" t="n"/>
      <c r="I34" s="24" t="n"/>
      <c r="J34" s="24" t="n"/>
      <c r="K34" s="25">
        <f>COUNTIF(C34:J34,TRUE)/8</f>
        <v/>
      </c>
      <c r="L34" s="26">
        <f>REPT("▰",ROUND(K34*10))&amp;REPT("▱",10-ROUND(K34*10))</f>
        <v/>
      </c>
      <c r="M34" s="27" t="n"/>
      <c r="N34" s="27" t="n"/>
      <c r="O34" s="24" t="n"/>
      <c r="P34" s="28" t="n"/>
      <c r="Q34" s="1">
        <f>IF(K34&gt;=0.8,Q33+1,0)</f>
        <v/>
      </c>
      <c r="R34" s="1" t="n"/>
    </row>
    <row r="35" ht="21" customHeight="1">
      <c r="A35" s="22">
        <f>DATE(2026,10,1)+26</f>
        <v/>
      </c>
      <c r="B35" s="23">
        <f>CHOOSE(WEEKDAY(A35,2),"Пн","Вт","Ср","Чт","Пт","Сб","Вс")</f>
        <v/>
      </c>
      <c r="C35" s="24" t="n"/>
      <c r="D35" s="24" t="n"/>
      <c r="E35" s="24" t="n"/>
      <c r="F35" s="24" t="n"/>
      <c r="G35" s="24" t="n"/>
      <c r="H35" s="24" t="n"/>
      <c r="I35" s="24" t="n"/>
      <c r="J35" s="24" t="n"/>
      <c r="K35" s="25">
        <f>COUNTIF(C35:J35,TRUE)/8</f>
        <v/>
      </c>
      <c r="L35" s="26">
        <f>REPT("▰",ROUND(K35*10))&amp;REPT("▱",10-ROUND(K35*10))</f>
        <v/>
      </c>
      <c r="M35" s="27" t="n"/>
      <c r="N35" s="27" t="n"/>
      <c r="O35" s="24" t="n"/>
      <c r="P35" s="28" t="n"/>
      <c r="Q35" s="1">
        <f>IF(K35&gt;=0.8,Q34+1,0)</f>
        <v/>
      </c>
      <c r="R35" s="1" t="n"/>
    </row>
    <row r="36" ht="21" customHeight="1">
      <c r="A36" s="22">
        <f>DATE(2026,10,1)+27</f>
        <v/>
      </c>
      <c r="B36" s="23">
        <f>CHOOSE(WEEKDAY(A36,2),"Пн","Вт","Ср","Чт","Пт","Сб","Вс")</f>
        <v/>
      </c>
      <c r="C36" s="24" t="n"/>
      <c r="D36" s="24" t="n"/>
      <c r="E36" s="24" t="n"/>
      <c r="F36" s="24" t="n"/>
      <c r="G36" s="24" t="n"/>
      <c r="H36" s="24" t="n"/>
      <c r="I36" s="24" t="n"/>
      <c r="J36" s="24" t="n"/>
      <c r="K36" s="25">
        <f>COUNTIF(C36:J36,TRUE)/8</f>
        <v/>
      </c>
      <c r="L36" s="26">
        <f>REPT("▰",ROUND(K36*10))&amp;REPT("▱",10-ROUND(K36*10))</f>
        <v/>
      </c>
      <c r="M36" s="27" t="n"/>
      <c r="N36" s="27" t="n"/>
      <c r="O36" s="24" t="n"/>
      <c r="P36" s="28" t="n"/>
      <c r="Q36" s="1">
        <f>IF(K36&gt;=0.8,Q35+1,0)</f>
        <v/>
      </c>
      <c r="R36" s="1" t="n"/>
    </row>
    <row r="37" ht="21" customHeight="1">
      <c r="A37" s="22">
        <f>DATE(2026,10,1)+28</f>
        <v/>
      </c>
      <c r="B37" s="23">
        <f>CHOOSE(WEEKDAY(A37,2),"Пн","Вт","Ср","Чт","Пт","Сб","Вс")</f>
        <v/>
      </c>
      <c r="C37" s="24" t="n"/>
      <c r="D37" s="24" t="n"/>
      <c r="E37" s="24" t="n"/>
      <c r="F37" s="24" t="n"/>
      <c r="G37" s="24" t="n"/>
      <c r="H37" s="24" t="n"/>
      <c r="I37" s="24" t="n"/>
      <c r="J37" s="24" t="n"/>
      <c r="K37" s="25">
        <f>COUNTIF(C37:J37,TRUE)/8</f>
        <v/>
      </c>
      <c r="L37" s="26">
        <f>REPT("▰",ROUND(K37*10))&amp;REPT("▱",10-ROUND(K37*10))</f>
        <v/>
      </c>
      <c r="M37" s="27" t="n"/>
      <c r="N37" s="27" t="n"/>
      <c r="O37" s="24" t="n"/>
      <c r="P37" s="28" t="n"/>
      <c r="Q37" s="1">
        <f>IF(K37&gt;=0.8,Q36+1,0)</f>
        <v/>
      </c>
      <c r="R37" s="1" t="n"/>
    </row>
    <row r="38" ht="21" customHeight="1">
      <c r="A38" s="22">
        <f>DATE(2026,10,1)+29</f>
        <v/>
      </c>
      <c r="B38" s="23">
        <f>CHOOSE(WEEKDAY(A38,2),"Пн","Вт","Ср","Чт","Пт","Сб","Вс")</f>
        <v/>
      </c>
      <c r="C38" s="24" t="n"/>
      <c r="D38" s="24" t="n"/>
      <c r="E38" s="24" t="n"/>
      <c r="F38" s="24" t="n"/>
      <c r="G38" s="24" t="n"/>
      <c r="H38" s="24" t="n"/>
      <c r="I38" s="24" t="n"/>
      <c r="J38" s="24" t="n"/>
      <c r="K38" s="25">
        <f>COUNTIF(C38:J38,TRUE)/8</f>
        <v/>
      </c>
      <c r="L38" s="26">
        <f>REPT("▰",ROUND(K38*10))&amp;REPT("▱",10-ROUND(K38*10))</f>
        <v/>
      </c>
      <c r="M38" s="27" t="n"/>
      <c r="N38" s="27" t="n"/>
      <c r="O38" s="24" t="n"/>
      <c r="P38" s="28" t="n"/>
      <c r="Q38" s="1">
        <f>IF(K38&gt;=0.8,Q37+1,0)</f>
        <v/>
      </c>
      <c r="R38" s="1" t="n"/>
    </row>
    <row r="39" ht="21" customHeight="1">
      <c r="A39" s="22">
        <f>DATE(2026,10,1)+30</f>
        <v/>
      </c>
      <c r="B39" s="23">
        <f>CHOOSE(WEEKDAY(A39,2),"Пн","Вт","Ср","Чт","Пт","Сб","Вс")</f>
        <v/>
      </c>
      <c r="C39" s="24" t="n"/>
      <c r="D39" s="24" t="n"/>
      <c r="E39" s="24" t="n"/>
      <c r="F39" s="24" t="n"/>
      <c r="G39" s="24" t="n"/>
      <c r="H39" s="24" t="n"/>
      <c r="I39" s="24" t="n"/>
      <c r="J39" s="24" t="n"/>
      <c r="K39" s="25">
        <f>COUNTIF(C39:J39,TRUE)/8</f>
        <v/>
      </c>
      <c r="L39" s="26">
        <f>REPT("▰",ROUND(K39*10))&amp;REPT("▱",10-ROUND(K39*10))</f>
        <v/>
      </c>
      <c r="M39" s="27" t="n"/>
      <c r="N39" s="27" t="n"/>
      <c r="O39" s="24" t="n"/>
      <c r="P39" s="28" t="n"/>
      <c r="Q39" s="1">
        <f>IF(K39&gt;=0.8,Q38+1,0)</f>
        <v/>
      </c>
      <c r="R39" s="1" t="n"/>
    </row>
    <row r="40" ht="21" customHeight="1">
      <c r="A40" s="22">
        <f>DATE(2026,10,1)+31</f>
        <v/>
      </c>
      <c r="B40" s="23">
        <f>CHOOSE(WEEKDAY(A40,2),"Пн","Вт","Ср","Чт","Пт","Сб","Вс")</f>
        <v/>
      </c>
      <c r="C40" s="24" t="n"/>
      <c r="D40" s="24" t="n"/>
      <c r="E40" s="24" t="n"/>
      <c r="F40" s="24" t="n"/>
      <c r="G40" s="24" t="n"/>
      <c r="H40" s="24" t="n"/>
      <c r="I40" s="24" t="n"/>
      <c r="J40" s="24" t="n"/>
      <c r="K40" s="25">
        <f>COUNTIF(C40:J40,TRUE)/8</f>
        <v/>
      </c>
      <c r="L40" s="26">
        <f>REPT("▰",ROUND(K40*10))&amp;REPT("▱",10-ROUND(K40*10))</f>
        <v/>
      </c>
      <c r="M40" s="27" t="n"/>
      <c r="N40" s="27" t="n"/>
      <c r="O40" s="24" t="n"/>
      <c r="P40" s="28" t="n"/>
      <c r="Q40" s="1">
        <f>IF(K40&gt;=0.8,Q39+1,0)</f>
        <v/>
      </c>
      <c r="R40" s="1" t="n"/>
    </row>
    <row r="41" ht="21" customHeight="1">
      <c r="A41" s="22">
        <f>DATE(2026,10,1)+32</f>
        <v/>
      </c>
      <c r="B41" s="23">
        <f>CHOOSE(WEEKDAY(A41,2),"Пн","Вт","Ср","Чт","Пт","Сб","Вс")</f>
        <v/>
      </c>
      <c r="C41" s="24" t="n"/>
      <c r="D41" s="24" t="n"/>
      <c r="E41" s="24" t="n"/>
      <c r="F41" s="24" t="n"/>
      <c r="G41" s="24" t="n"/>
      <c r="H41" s="24" t="n"/>
      <c r="I41" s="24" t="n"/>
      <c r="J41" s="24" t="n"/>
      <c r="K41" s="25">
        <f>COUNTIF(C41:J41,TRUE)/8</f>
        <v/>
      </c>
      <c r="L41" s="26">
        <f>REPT("▰",ROUND(K41*10))&amp;REPT("▱",10-ROUND(K41*10))</f>
        <v/>
      </c>
      <c r="M41" s="27" t="n"/>
      <c r="N41" s="27" t="n"/>
      <c r="O41" s="24" t="n"/>
      <c r="P41" s="28" t="n"/>
      <c r="Q41" s="1">
        <f>IF(K41&gt;=0.8,Q40+1,0)</f>
        <v/>
      </c>
      <c r="R41" s="1" t="n"/>
    </row>
    <row r="42" ht="21" customHeight="1">
      <c r="A42" s="22">
        <f>DATE(2026,10,1)+33</f>
        <v/>
      </c>
      <c r="B42" s="23">
        <f>CHOOSE(WEEKDAY(A42,2),"Пн","Вт","Ср","Чт","Пт","Сб","Вс")</f>
        <v/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5">
        <f>COUNTIF(C42:J42,TRUE)/8</f>
        <v/>
      </c>
      <c r="L42" s="26">
        <f>REPT("▰",ROUND(K42*10))&amp;REPT("▱",10-ROUND(K42*10))</f>
        <v/>
      </c>
      <c r="M42" s="27" t="n"/>
      <c r="N42" s="27" t="n"/>
      <c r="O42" s="24" t="n"/>
      <c r="P42" s="28" t="n"/>
      <c r="Q42" s="1">
        <f>IF(K42&gt;=0.8,Q41+1,0)</f>
        <v/>
      </c>
      <c r="R42" s="1" t="n"/>
    </row>
    <row r="43" ht="21" customHeight="1">
      <c r="A43" s="22">
        <f>DATE(2026,10,1)+34</f>
        <v/>
      </c>
      <c r="B43" s="23">
        <f>CHOOSE(WEEKDAY(A43,2),"Пн","Вт","Ср","Чт","Пт","Сб","Вс")</f>
        <v/>
      </c>
      <c r="C43" s="24" t="n"/>
      <c r="D43" s="24" t="n"/>
      <c r="E43" s="24" t="n"/>
      <c r="F43" s="24" t="n"/>
      <c r="G43" s="24" t="n"/>
      <c r="H43" s="24" t="n"/>
      <c r="I43" s="24" t="n"/>
      <c r="J43" s="24" t="n"/>
      <c r="K43" s="25">
        <f>COUNTIF(C43:J43,TRUE)/8</f>
        <v/>
      </c>
      <c r="L43" s="26">
        <f>REPT("▰",ROUND(K43*10))&amp;REPT("▱",10-ROUND(K43*10))</f>
        <v/>
      </c>
      <c r="M43" s="27" t="n"/>
      <c r="N43" s="27" t="n"/>
      <c r="O43" s="24" t="n"/>
      <c r="P43" s="28" t="n"/>
      <c r="Q43" s="1">
        <f>IF(K43&gt;=0.8,Q42+1,0)</f>
        <v/>
      </c>
      <c r="R43" s="1" t="n"/>
    </row>
    <row r="44" ht="21" customHeight="1">
      <c r="A44" s="22">
        <f>DATE(2026,10,1)+35</f>
        <v/>
      </c>
      <c r="B44" s="23">
        <f>CHOOSE(WEEKDAY(A44,2),"Пн","Вт","Ср","Чт","Пт","Сб","Вс")</f>
        <v/>
      </c>
      <c r="C44" s="24" t="n"/>
      <c r="D44" s="24" t="n"/>
      <c r="E44" s="24" t="n"/>
      <c r="F44" s="24" t="n"/>
      <c r="G44" s="24" t="n"/>
      <c r="H44" s="24" t="n"/>
      <c r="I44" s="24" t="n"/>
      <c r="J44" s="24" t="n"/>
      <c r="K44" s="25">
        <f>COUNTIF(C44:J44,TRUE)/8</f>
        <v/>
      </c>
      <c r="L44" s="26">
        <f>REPT("▰",ROUND(K44*10))&amp;REPT("▱",10-ROUND(K44*10))</f>
        <v/>
      </c>
      <c r="M44" s="27" t="n"/>
      <c r="N44" s="27" t="n"/>
      <c r="O44" s="24" t="n"/>
      <c r="P44" s="28" t="n"/>
      <c r="Q44" s="1">
        <f>IF(K44&gt;=0.8,Q43+1,0)</f>
        <v/>
      </c>
      <c r="R44" s="1" t="n"/>
    </row>
    <row r="45" ht="21" customHeight="1">
      <c r="A45" s="22">
        <f>DATE(2026,10,1)+36</f>
        <v/>
      </c>
      <c r="B45" s="23">
        <f>CHOOSE(WEEKDAY(A45,2),"Пн","Вт","Ср","Чт","Пт","Сб","Вс")</f>
        <v/>
      </c>
      <c r="C45" s="24" t="n"/>
      <c r="D45" s="24" t="n"/>
      <c r="E45" s="24" t="n"/>
      <c r="F45" s="24" t="n"/>
      <c r="G45" s="24" t="n"/>
      <c r="H45" s="24" t="n"/>
      <c r="I45" s="24" t="n"/>
      <c r="J45" s="24" t="n"/>
      <c r="K45" s="25">
        <f>COUNTIF(C45:J45,TRUE)/8</f>
        <v/>
      </c>
      <c r="L45" s="26">
        <f>REPT("▰",ROUND(K45*10))&amp;REPT("▱",10-ROUND(K45*10))</f>
        <v/>
      </c>
      <c r="M45" s="27" t="n"/>
      <c r="N45" s="27" t="n"/>
      <c r="O45" s="24" t="n"/>
      <c r="P45" s="28" t="n"/>
      <c r="Q45" s="1">
        <f>IF(K45&gt;=0.8,Q44+1,0)</f>
        <v/>
      </c>
      <c r="R45" s="1" t="n"/>
    </row>
    <row r="46" ht="21" customHeight="1">
      <c r="A46" s="22">
        <f>DATE(2026,10,1)+37</f>
        <v/>
      </c>
      <c r="B46" s="23">
        <f>CHOOSE(WEEKDAY(A46,2),"Пн","Вт","Ср","Чт","Пт","Сб","Вс")</f>
        <v/>
      </c>
      <c r="C46" s="24" t="n"/>
      <c r="D46" s="24" t="n"/>
      <c r="E46" s="24" t="n"/>
      <c r="F46" s="24" t="n"/>
      <c r="G46" s="24" t="n"/>
      <c r="H46" s="24" t="n"/>
      <c r="I46" s="24" t="n"/>
      <c r="J46" s="24" t="n"/>
      <c r="K46" s="25">
        <f>COUNTIF(C46:J46,TRUE)/8</f>
        <v/>
      </c>
      <c r="L46" s="26">
        <f>REPT("▰",ROUND(K46*10))&amp;REPT("▱",10-ROUND(K46*10))</f>
        <v/>
      </c>
      <c r="M46" s="27" t="n"/>
      <c r="N46" s="27" t="n"/>
      <c r="O46" s="24" t="n"/>
      <c r="P46" s="28" t="n"/>
      <c r="Q46" s="1">
        <f>IF(K46&gt;=0.8,Q45+1,0)</f>
        <v/>
      </c>
      <c r="R46" s="1" t="n"/>
    </row>
    <row r="47" ht="21" customHeight="1">
      <c r="A47" s="22">
        <f>DATE(2026,10,1)+38</f>
        <v/>
      </c>
      <c r="B47" s="23">
        <f>CHOOSE(WEEKDAY(A47,2),"Пн","Вт","Ср","Чт","Пт","Сб","Вс")</f>
        <v/>
      </c>
      <c r="C47" s="24" t="n"/>
      <c r="D47" s="24" t="n"/>
      <c r="E47" s="24" t="n"/>
      <c r="F47" s="24" t="n"/>
      <c r="G47" s="24" t="n"/>
      <c r="H47" s="24" t="n"/>
      <c r="I47" s="24" t="n"/>
      <c r="J47" s="24" t="n"/>
      <c r="K47" s="25">
        <f>COUNTIF(C47:J47,TRUE)/8</f>
        <v/>
      </c>
      <c r="L47" s="26">
        <f>REPT("▰",ROUND(K47*10))&amp;REPT("▱",10-ROUND(K47*10))</f>
        <v/>
      </c>
      <c r="M47" s="27" t="n"/>
      <c r="N47" s="27" t="n"/>
      <c r="O47" s="24" t="n"/>
      <c r="P47" s="28" t="n"/>
      <c r="Q47" s="1">
        <f>IF(K47&gt;=0.8,Q46+1,0)</f>
        <v/>
      </c>
      <c r="R47" s="1" t="n"/>
    </row>
    <row r="48" ht="21" customHeight="1">
      <c r="A48" s="22">
        <f>DATE(2026,10,1)+39</f>
        <v/>
      </c>
      <c r="B48" s="23">
        <f>CHOOSE(WEEKDAY(A48,2),"Пн","Вт","Ср","Чт","Пт","Сб","Вс")</f>
        <v/>
      </c>
      <c r="C48" s="24" t="n"/>
      <c r="D48" s="24" t="n"/>
      <c r="E48" s="24" t="n"/>
      <c r="F48" s="24" t="n"/>
      <c r="G48" s="24" t="n"/>
      <c r="H48" s="24" t="n"/>
      <c r="I48" s="24" t="n"/>
      <c r="J48" s="24" t="n"/>
      <c r="K48" s="25">
        <f>COUNTIF(C48:J48,TRUE)/8</f>
        <v/>
      </c>
      <c r="L48" s="26">
        <f>REPT("▰",ROUND(K48*10))&amp;REPT("▱",10-ROUND(K48*10))</f>
        <v/>
      </c>
      <c r="M48" s="27" t="n"/>
      <c r="N48" s="27" t="n"/>
      <c r="O48" s="24" t="n"/>
      <c r="P48" s="28" t="n"/>
      <c r="Q48" s="1">
        <f>IF(K48&gt;=0.8,Q47+1,0)</f>
        <v/>
      </c>
      <c r="R48" s="1" t="n"/>
    </row>
    <row r="49" ht="21" customHeight="1">
      <c r="A49" s="22">
        <f>DATE(2026,10,1)+40</f>
        <v/>
      </c>
      <c r="B49" s="23">
        <f>CHOOSE(WEEKDAY(A49,2),"Пн","Вт","Ср","Чт","Пт","Сб","Вс")</f>
        <v/>
      </c>
      <c r="C49" s="24" t="n"/>
      <c r="D49" s="24" t="n"/>
      <c r="E49" s="24" t="n"/>
      <c r="F49" s="24" t="n"/>
      <c r="G49" s="24" t="n"/>
      <c r="H49" s="24" t="n"/>
      <c r="I49" s="24" t="n"/>
      <c r="J49" s="24" t="n"/>
      <c r="K49" s="25">
        <f>COUNTIF(C49:J49,TRUE)/8</f>
        <v/>
      </c>
      <c r="L49" s="26">
        <f>REPT("▰",ROUND(K49*10))&amp;REPT("▱",10-ROUND(K49*10))</f>
        <v/>
      </c>
      <c r="M49" s="27" t="n"/>
      <c r="N49" s="27" t="n"/>
      <c r="O49" s="24" t="n"/>
      <c r="P49" s="28" t="n"/>
      <c r="Q49" s="1">
        <f>IF(K49&gt;=0.8,Q48+1,0)</f>
        <v/>
      </c>
      <c r="R49" s="1" t="n"/>
    </row>
    <row r="50" ht="21" customHeight="1">
      <c r="A50" s="22">
        <f>DATE(2026,10,1)+41</f>
        <v/>
      </c>
      <c r="B50" s="23">
        <f>CHOOSE(WEEKDAY(A50,2),"Пн","Вт","Ср","Чт","Пт","Сб","Вс")</f>
        <v/>
      </c>
      <c r="C50" s="24" t="n"/>
      <c r="D50" s="24" t="n"/>
      <c r="E50" s="24" t="n"/>
      <c r="F50" s="24" t="n"/>
      <c r="G50" s="24" t="n"/>
      <c r="H50" s="24" t="n"/>
      <c r="I50" s="24" t="n"/>
      <c r="J50" s="24" t="n"/>
      <c r="K50" s="25">
        <f>COUNTIF(C50:J50,TRUE)/8</f>
        <v/>
      </c>
      <c r="L50" s="26">
        <f>REPT("▰",ROUND(K50*10))&amp;REPT("▱",10-ROUND(K50*10))</f>
        <v/>
      </c>
      <c r="M50" s="27" t="n"/>
      <c r="N50" s="27" t="n"/>
      <c r="O50" s="24" t="n"/>
      <c r="P50" s="28" t="n"/>
      <c r="Q50" s="1">
        <f>IF(K50&gt;=0.8,Q49+1,0)</f>
        <v/>
      </c>
      <c r="R50" s="1" t="n"/>
    </row>
    <row r="51" ht="21" customHeight="1">
      <c r="A51" s="22">
        <f>DATE(2026,10,1)+42</f>
        <v/>
      </c>
      <c r="B51" s="23">
        <f>CHOOSE(WEEKDAY(A51,2),"Пн","Вт","Ср","Чт","Пт","Сб","Вс")</f>
        <v/>
      </c>
      <c r="C51" s="24" t="n"/>
      <c r="D51" s="24" t="n"/>
      <c r="E51" s="24" t="n"/>
      <c r="F51" s="24" t="n"/>
      <c r="G51" s="24" t="n"/>
      <c r="H51" s="24" t="n"/>
      <c r="I51" s="24" t="n"/>
      <c r="J51" s="24" t="n"/>
      <c r="K51" s="25">
        <f>COUNTIF(C51:J51,TRUE)/8</f>
        <v/>
      </c>
      <c r="L51" s="26">
        <f>REPT("▰",ROUND(K51*10))&amp;REPT("▱",10-ROUND(K51*10))</f>
        <v/>
      </c>
      <c r="M51" s="27" t="n"/>
      <c r="N51" s="27" t="n"/>
      <c r="O51" s="24" t="n"/>
      <c r="P51" s="28" t="n"/>
      <c r="Q51" s="1">
        <f>IF(K51&gt;=0.8,Q50+1,0)</f>
        <v/>
      </c>
      <c r="R51" s="1" t="n"/>
    </row>
    <row r="52" ht="21" customHeight="1">
      <c r="A52" s="22">
        <f>DATE(2026,10,1)+43</f>
        <v/>
      </c>
      <c r="B52" s="23">
        <f>CHOOSE(WEEKDAY(A52,2),"Пн","Вт","Ср","Чт","Пт","Сб","Вс")</f>
        <v/>
      </c>
      <c r="C52" s="24" t="n"/>
      <c r="D52" s="24" t="n"/>
      <c r="E52" s="24" t="n"/>
      <c r="F52" s="24" t="n"/>
      <c r="G52" s="24" t="n"/>
      <c r="H52" s="24" t="n"/>
      <c r="I52" s="24" t="n"/>
      <c r="J52" s="24" t="n"/>
      <c r="K52" s="25">
        <f>COUNTIF(C52:J52,TRUE)/8</f>
        <v/>
      </c>
      <c r="L52" s="26">
        <f>REPT("▰",ROUND(K52*10))&amp;REPT("▱",10-ROUND(K52*10))</f>
        <v/>
      </c>
      <c r="M52" s="27" t="n"/>
      <c r="N52" s="27" t="n"/>
      <c r="O52" s="24" t="n"/>
      <c r="P52" s="28" t="n"/>
      <c r="Q52" s="1">
        <f>IF(K52&gt;=0.8,Q51+1,0)</f>
        <v/>
      </c>
      <c r="R52" s="1" t="n"/>
    </row>
    <row r="53" ht="21" customHeight="1">
      <c r="A53" s="22">
        <f>DATE(2026,10,1)+44</f>
        <v/>
      </c>
      <c r="B53" s="23">
        <f>CHOOSE(WEEKDAY(A53,2),"Пн","Вт","Ср","Чт","Пт","Сб","Вс")</f>
        <v/>
      </c>
      <c r="C53" s="24" t="n"/>
      <c r="D53" s="24" t="n"/>
      <c r="E53" s="24" t="n"/>
      <c r="F53" s="24" t="n"/>
      <c r="G53" s="24" t="n"/>
      <c r="H53" s="24" t="n"/>
      <c r="I53" s="24" t="n"/>
      <c r="J53" s="24" t="n"/>
      <c r="K53" s="25">
        <f>COUNTIF(C53:J53,TRUE)/8</f>
        <v/>
      </c>
      <c r="L53" s="26">
        <f>REPT("▰",ROUND(K53*10))&amp;REPT("▱",10-ROUND(K53*10))</f>
        <v/>
      </c>
      <c r="M53" s="27" t="n"/>
      <c r="N53" s="27" t="n"/>
      <c r="O53" s="24" t="n"/>
      <c r="P53" s="28" t="n"/>
      <c r="Q53" s="1">
        <f>IF(K53&gt;=0.8,Q52+1,0)</f>
        <v/>
      </c>
      <c r="R53" s="1" t="n"/>
    </row>
    <row r="54" ht="21" customHeight="1">
      <c r="A54" s="22">
        <f>DATE(2026,10,1)+45</f>
        <v/>
      </c>
      <c r="B54" s="23">
        <f>CHOOSE(WEEKDAY(A54,2),"Пн","Вт","Ср","Чт","Пт","Сб","Вс")</f>
        <v/>
      </c>
      <c r="C54" s="24" t="n"/>
      <c r="D54" s="24" t="n"/>
      <c r="E54" s="24" t="n"/>
      <c r="F54" s="24" t="n"/>
      <c r="G54" s="24" t="n"/>
      <c r="H54" s="24" t="n"/>
      <c r="I54" s="24" t="n"/>
      <c r="J54" s="24" t="n"/>
      <c r="K54" s="25">
        <f>COUNTIF(C54:J54,TRUE)/8</f>
        <v/>
      </c>
      <c r="L54" s="26">
        <f>REPT("▰",ROUND(K54*10))&amp;REPT("▱",10-ROUND(K54*10))</f>
        <v/>
      </c>
      <c r="M54" s="27" t="n"/>
      <c r="N54" s="27" t="n"/>
      <c r="O54" s="24" t="n"/>
      <c r="P54" s="28" t="n"/>
      <c r="Q54" s="1">
        <f>IF(K54&gt;=0.8,Q53+1,0)</f>
        <v/>
      </c>
      <c r="R54" s="1" t="n"/>
    </row>
    <row r="55" ht="21" customHeight="1">
      <c r="A55" s="22">
        <f>DATE(2026,10,1)+46</f>
        <v/>
      </c>
      <c r="B55" s="23">
        <f>CHOOSE(WEEKDAY(A55,2),"Пн","Вт","Ср","Чт","Пт","Сб","Вс")</f>
        <v/>
      </c>
      <c r="C55" s="24" t="n"/>
      <c r="D55" s="24" t="n"/>
      <c r="E55" s="24" t="n"/>
      <c r="F55" s="24" t="n"/>
      <c r="G55" s="24" t="n"/>
      <c r="H55" s="24" t="n"/>
      <c r="I55" s="24" t="n"/>
      <c r="J55" s="24" t="n"/>
      <c r="K55" s="25">
        <f>COUNTIF(C55:J55,TRUE)/8</f>
        <v/>
      </c>
      <c r="L55" s="26">
        <f>REPT("▰",ROUND(K55*10))&amp;REPT("▱",10-ROUND(K55*10))</f>
        <v/>
      </c>
      <c r="M55" s="27" t="n"/>
      <c r="N55" s="27" t="n"/>
      <c r="O55" s="24" t="n"/>
      <c r="P55" s="28" t="n"/>
      <c r="Q55" s="1">
        <f>IF(K55&gt;=0.8,Q54+1,0)</f>
        <v/>
      </c>
      <c r="R55" s="1" t="n"/>
    </row>
    <row r="56" ht="21" customHeight="1">
      <c r="A56" s="22">
        <f>DATE(2026,10,1)+47</f>
        <v/>
      </c>
      <c r="B56" s="23">
        <f>CHOOSE(WEEKDAY(A56,2),"Пн","Вт","Ср","Чт","Пт","Сб","Вс")</f>
        <v/>
      </c>
      <c r="C56" s="24" t="n"/>
      <c r="D56" s="24" t="n"/>
      <c r="E56" s="24" t="n"/>
      <c r="F56" s="24" t="n"/>
      <c r="G56" s="24" t="n"/>
      <c r="H56" s="24" t="n"/>
      <c r="I56" s="24" t="n"/>
      <c r="J56" s="24" t="n"/>
      <c r="K56" s="25">
        <f>COUNTIF(C56:J56,TRUE)/8</f>
        <v/>
      </c>
      <c r="L56" s="26">
        <f>REPT("▰",ROUND(K56*10))&amp;REPT("▱",10-ROUND(K56*10))</f>
        <v/>
      </c>
      <c r="M56" s="27" t="n"/>
      <c r="N56" s="27" t="n"/>
      <c r="O56" s="24" t="n"/>
      <c r="P56" s="28" t="n"/>
      <c r="Q56" s="1">
        <f>IF(K56&gt;=0.8,Q55+1,0)</f>
        <v/>
      </c>
      <c r="R56" s="1" t="n"/>
    </row>
    <row r="57" ht="21" customHeight="1">
      <c r="A57" s="22">
        <f>DATE(2026,10,1)+48</f>
        <v/>
      </c>
      <c r="B57" s="23">
        <f>CHOOSE(WEEKDAY(A57,2),"Пн","Вт","Ср","Чт","Пт","Сб","Вс")</f>
        <v/>
      </c>
      <c r="C57" s="24" t="n"/>
      <c r="D57" s="24" t="n"/>
      <c r="E57" s="24" t="n"/>
      <c r="F57" s="24" t="n"/>
      <c r="G57" s="24" t="n"/>
      <c r="H57" s="24" t="n"/>
      <c r="I57" s="24" t="n"/>
      <c r="J57" s="24" t="n"/>
      <c r="K57" s="25">
        <f>COUNTIF(C57:J57,TRUE)/8</f>
        <v/>
      </c>
      <c r="L57" s="26">
        <f>REPT("▰",ROUND(K57*10))&amp;REPT("▱",10-ROUND(K57*10))</f>
        <v/>
      </c>
      <c r="M57" s="27" t="n"/>
      <c r="N57" s="27" t="n"/>
      <c r="O57" s="24" t="n"/>
      <c r="P57" s="28" t="n"/>
      <c r="Q57" s="1">
        <f>IF(K57&gt;=0.8,Q56+1,0)</f>
        <v/>
      </c>
      <c r="R57" s="1" t="n"/>
    </row>
    <row r="58" ht="21" customHeight="1">
      <c r="A58" s="22">
        <f>DATE(2026,10,1)+49</f>
        <v/>
      </c>
      <c r="B58" s="23">
        <f>CHOOSE(WEEKDAY(A58,2),"Пн","Вт","Ср","Чт","Пт","Сб","Вс")</f>
        <v/>
      </c>
      <c r="C58" s="24" t="n"/>
      <c r="D58" s="24" t="n"/>
      <c r="E58" s="24" t="n"/>
      <c r="F58" s="24" t="n"/>
      <c r="G58" s="24" t="n"/>
      <c r="H58" s="24" t="n"/>
      <c r="I58" s="24" t="n"/>
      <c r="J58" s="24" t="n"/>
      <c r="K58" s="25">
        <f>COUNTIF(C58:J58,TRUE)/8</f>
        <v/>
      </c>
      <c r="L58" s="26">
        <f>REPT("▰",ROUND(K58*10))&amp;REPT("▱",10-ROUND(K58*10))</f>
        <v/>
      </c>
      <c r="M58" s="27" t="n"/>
      <c r="N58" s="27" t="n"/>
      <c r="O58" s="24" t="n"/>
      <c r="P58" s="28" t="n"/>
      <c r="Q58" s="1">
        <f>IF(K58&gt;=0.8,Q57+1,0)</f>
        <v/>
      </c>
      <c r="R58" s="1" t="n"/>
    </row>
    <row r="59" ht="21" customHeight="1">
      <c r="A59" s="22">
        <f>DATE(2026,10,1)+50</f>
        <v/>
      </c>
      <c r="B59" s="23">
        <f>CHOOSE(WEEKDAY(A59,2),"Пн","Вт","Ср","Чт","Пт","Сб","Вс")</f>
        <v/>
      </c>
      <c r="C59" s="24" t="n"/>
      <c r="D59" s="24" t="n"/>
      <c r="E59" s="24" t="n"/>
      <c r="F59" s="24" t="n"/>
      <c r="G59" s="24" t="n"/>
      <c r="H59" s="24" t="n"/>
      <c r="I59" s="24" t="n"/>
      <c r="J59" s="24" t="n"/>
      <c r="K59" s="25">
        <f>COUNTIF(C59:J59,TRUE)/8</f>
        <v/>
      </c>
      <c r="L59" s="26">
        <f>REPT("▰",ROUND(K59*10))&amp;REPT("▱",10-ROUND(K59*10))</f>
        <v/>
      </c>
      <c r="M59" s="27" t="n"/>
      <c r="N59" s="27" t="n"/>
      <c r="O59" s="24" t="n"/>
      <c r="P59" s="28" t="n"/>
      <c r="Q59" s="1">
        <f>IF(K59&gt;=0.8,Q58+1,0)</f>
        <v/>
      </c>
      <c r="R59" s="1" t="n"/>
    </row>
    <row r="60" ht="21" customHeight="1">
      <c r="A60" s="22">
        <f>DATE(2026,10,1)+51</f>
        <v/>
      </c>
      <c r="B60" s="23">
        <f>CHOOSE(WEEKDAY(A60,2),"Пн","Вт","Ср","Чт","Пт","Сб","Вс")</f>
        <v/>
      </c>
      <c r="C60" s="24" t="n"/>
      <c r="D60" s="24" t="n"/>
      <c r="E60" s="24" t="n"/>
      <c r="F60" s="24" t="n"/>
      <c r="G60" s="24" t="n"/>
      <c r="H60" s="24" t="n"/>
      <c r="I60" s="24" t="n"/>
      <c r="J60" s="24" t="n"/>
      <c r="K60" s="25">
        <f>COUNTIF(C60:J60,TRUE)/8</f>
        <v/>
      </c>
      <c r="L60" s="26">
        <f>REPT("▰",ROUND(K60*10))&amp;REPT("▱",10-ROUND(K60*10))</f>
        <v/>
      </c>
      <c r="M60" s="27" t="n"/>
      <c r="N60" s="27" t="n"/>
      <c r="O60" s="24" t="n"/>
      <c r="P60" s="28" t="n"/>
      <c r="Q60" s="1">
        <f>IF(K60&gt;=0.8,Q59+1,0)</f>
        <v/>
      </c>
      <c r="R60" s="1" t="n"/>
    </row>
    <row r="61" ht="21" customHeight="1">
      <c r="A61" s="22">
        <f>DATE(2026,10,1)+52</f>
        <v/>
      </c>
      <c r="B61" s="23">
        <f>CHOOSE(WEEKDAY(A61,2),"Пн","Вт","Ср","Чт","Пт","Сб","Вс")</f>
        <v/>
      </c>
      <c r="C61" s="24" t="n"/>
      <c r="D61" s="24" t="n"/>
      <c r="E61" s="24" t="n"/>
      <c r="F61" s="24" t="n"/>
      <c r="G61" s="24" t="n"/>
      <c r="H61" s="24" t="n"/>
      <c r="I61" s="24" t="n"/>
      <c r="J61" s="24" t="n"/>
      <c r="K61" s="25">
        <f>COUNTIF(C61:J61,TRUE)/8</f>
        <v/>
      </c>
      <c r="L61" s="26">
        <f>REPT("▰",ROUND(K61*10))&amp;REPT("▱",10-ROUND(K61*10))</f>
        <v/>
      </c>
      <c r="M61" s="27" t="n"/>
      <c r="N61" s="27" t="n"/>
      <c r="O61" s="24" t="n"/>
      <c r="P61" s="28" t="n"/>
      <c r="Q61" s="1">
        <f>IF(K61&gt;=0.8,Q60+1,0)</f>
        <v/>
      </c>
      <c r="R61" s="1" t="n"/>
    </row>
    <row r="62" ht="21" customHeight="1">
      <c r="A62" s="22">
        <f>DATE(2026,10,1)+53</f>
        <v/>
      </c>
      <c r="B62" s="23">
        <f>CHOOSE(WEEKDAY(A62,2),"Пн","Вт","Ср","Чт","Пт","Сб","Вс")</f>
        <v/>
      </c>
      <c r="C62" s="24" t="n"/>
      <c r="D62" s="24" t="n"/>
      <c r="E62" s="24" t="n"/>
      <c r="F62" s="24" t="n"/>
      <c r="G62" s="24" t="n"/>
      <c r="H62" s="24" t="n"/>
      <c r="I62" s="24" t="n"/>
      <c r="J62" s="24" t="n"/>
      <c r="K62" s="25">
        <f>COUNTIF(C62:J62,TRUE)/8</f>
        <v/>
      </c>
      <c r="L62" s="26">
        <f>REPT("▰",ROUND(K62*10))&amp;REPT("▱",10-ROUND(K62*10))</f>
        <v/>
      </c>
      <c r="M62" s="27" t="n"/>
      <c r="N62" s="27" t="n"/>
      <c r="O62" s="24" t="n"/>
      <c r="P62" s="28" t="n"/>
      <c r="Q62" s="1">
        <f>IF(K62&gt;=0.8,Q61+1,0)</f>
        <v/>
      </c>
      <c r="R62" s="1" t="n"/>
    </row>
    <row r="63" ht="21" customHeight="1">
      <c r="A63" s="22">
        <f>DATE(2026,10,1)+54</f>
        <v/>
      </c>
      <c r="B63" s="23">
        <f>CHOOSE(WEEKDAY(A63,2),"Пн","Вт","Ср","Чт","Пт","Сб","Вс")</f>
        <v/>
      </c>
      <c r="C63" s="24" t="n"/>
      <c r="D63" s="24" t="n"/>
      <c r="E63" s="24" t="n"/>
      <c r="F63" s="24" t="n"/>
      <c r="G63" s="24" t="n"/>
      <c r="H63" s="24" t="n"/>
      <c r="I63" s="24" t="n"/>
      <c r="J63" s="24" t="n"/>
      <c r="K63" s="25">
        <f>COUNTIF(C63:J63,TRUE)/8</f>
        <v/>
      </c>
      <c r="L63" s="26">
        <f>REPT("▰",ROUND(K63*10))&amp;REPT("▱",10-ROUND(K63*10))</f>
        <v/>
      </c>
      <c r="M63" s="27" t="n"/>
      <c r="N63" s="27" t="n"/>
      <c r="O63" s="24" t="n"/>
      <c r="P63" s="28" t="n"/>
      <c r="Q63" s="1">
        <f>IF(K63&gt;=0.8,Q62+1,0)</f>
        <v/>
      </c>
      <c r="R63" s="1" t="n"/>
    </row>
    <row r="64" ht="21" customHeight="1">
      <c r="A64" s="22">
        <f>DATE(2026,10,1)+55</f>
        <v/>
      </c>
      <c r="B64" s="23">
        <f>CHOOSE(WEEKDAY(A64,2),"Пн","Вт","Ср","Чт","Пт","Сб","Вс")</f>
        <v/>
      </c>
      <c r="C64" s="24" t="n"/>
      <c r="D64" s="24" t="n"/>
      <c r="E64" s="24" t="n"/>
      <c r="F64" s="24" t="n"/>
      <c r="G64" s="24" t="n"/>
      <c r="H64" s="24" t="n"/>
      <c r="I64" s="24" t="n"/>
      <c r="J64" s="24" t="n"/>
      <c r="K64" s="25">
        <f>COUNTIF(C64:J64,TRUE)/8</f>
        <v/>
      </c>
      <c r="L64" s="26">
        <f>REPT("▰",ROUND(K64*10))&amp;REPT("▱",10-ROUND(K64*10))</f>
        <v/>
      </c>
      <c r="M64" s="27" t="n"/>
      <c r="N64" s="27" t="n"/>
      <c r="O64" s="24" t="n"/>
      <c r="P64" s="28" t="n"/>
      <c r="Q64" s="1">
        <f>IF(K64&gt;=0.8,Q63+1,0)</f>
        <v/>
      </c>
      <c r="R64" s="1" t="n"/>
    </row>
    <row r="65" ht="21" customHeight="1">
      <c r="A65" s="22">
        <f>DATE(2026,10,1)+56</f>
        <v/>
      </c>
      <c r="B65" s="23">
        <f>CHOOSE(WEEKDAY(A65,2),"Пн","Вт","Ср","Чт","Пт","Сб","Вс")</f>
        <v/>
      </c>
      <c r="C65" s="24" t="n"/>
      <c r="D65" s="24" t="n"/>
      <c r="E65" s="24" t="n"/>
      <c r="F65" s="24" t="n"/>
      <c r="G65" s="24" t="n"/>
      <c r="H65" s="24" t="n"/>
      <c r="I65" s="24" t="n"/>
      <c r="J65" s="24" t="n"/>
      <c r="K65" s="25">
        <f>COUNTIF(C65:J65,TRUE)/8</f>
        <v/>
      </c>
      <c r="L65" s="26">
        <f>REPT("▰",ROUND(K65*10))&amp;REPT("▱",10-ROUND(K65*10))</f>
        <v/>
      </c>
      <c r="M65" s="27" t="n"/>
      <c r="N65" s="27" t="n"/>
      <c r="O65" s="24" t="n"/>
      <c r="P65" s="28" t="n"/>
      <c r="Q65" s="1">
        <f>IF(K65&gt;=0.8,Q64+1,0)</f>
        <v/>
      </c>
      <c r="R65" s="1" t="n"/>
    </row>
    <row r="66" ht="21" customHeight="1">
      <c r="A66" s="22">
        <f>DATE(2026,10,1)+57</f>
        <v/>
      </c>
      <c r="B66" s="23">
        <f>CHOOSE(WEEKDAY(A66,2),"Пн","Вт","Ср","Чт","Пт","Сб","Вс")</f>
        <v/>
      </c>
      <c r="C66" s="24" t="n"/>
      <c r="D66" s="24" t="n"/>
      <c r="E66" s="24" t="n"/>
      <c r="F66" s="24" t="n"/>
      <c r="G66" s="24" t="n"/>
      <c r="H66" s="24" t="n"/>
      <c r="I66" s="24" t="n"/>
      <c r="J66" s="24" t="n"/>
      <c r="K66" s="25">
        <f>COUNTIF(C66:J66,TRUE)/8</f>
        <v/>
      </c>
      <c r="L66" s="26">
        <f>REPT("▰",ROUND(K66*10))&amp;REPT("▱",10-ROUND(K66*10))</f>
        <v/>
      </c>
      <c r="M66" s="27" t="n"/>
      <c r="N66" s="27" t="n"/>
      <c r="O66" s="24" t="n"/>
      <c r="P66" s="28" t="n"/>
      <c r="Q66" s="1">
        <f>IF(K66&gt;=0.8,Q65+1,0)</f>
        <v/>
      </c>
      <c r="R66" s="1" t="n"/>
    </row>
    <row r="67" ht="21" customHeight="1">
      <c r="A67" s="22">
        <f>DATE(2026,10,1)+58</f>
        <v/>
      </c>
      <c r="B67" s="23">
        <f>CHOOSE(WEEKDAY(A67,2),"Пн","Вт","Ср","Чт","Пт","Сб","Вс")</f>
        <v/>
      </c>
      <c r="C67" s="24" t="n"/>
      <c r="D67" s="24" t="n"/>
      <c r="E67" s="24" t="n"/>
      <c r="F67" s="24" t="n"/>
      <c r="G67" s="24" t="n"/>
      <c r="H67" s="24" t="n"/>
      <c r="I67" s="24" t="n"/>
      <c r="J67" s="24" t="n"/>
      <c r="K67" s="25">
        <f>COUNTIF(C67:J67,TRUE)/8</f>
        <v/>
      </c>
      <c r="L67" s="26">
        <f>REPT("▰",ROUND(K67*10))&amp;REPT("▱",10-ROUND(K67*10))</f>
        <v/>
      </c>
      <c r="M67" s="27" t="n"/>
      <c r="N67" s="27" t="n"/>
      <c r="O67" s="24" t="n"/>
      <c r="P67" s="28" t="n"/>
      <c r="Q67" s="1">
        <f>IF(K67&gt;=0.8,Q66+1,0)</f>
        <v/>
      </c>
      <c r="R67" s="1" t="n"/>
    </row>
    <row r="68" ht="21" customHeight="1">
      <c r="A68" s="22">
        <f>DATE(2026,10,1)+59</f>
        <v/>
      </c>
      <c r="B68" s="23">
        <f>CHOOSE(WEEKDAY(A68,2),"Пн","Вт","Ср","Чт","Пт","Сб","Вс")</f>
        <v/>
      </c>
      <c r="C68" s="24" t="n"/>
      <c r="D68" s="24" t="n"/>
      <c r="E68" s="24" t="n"/>
      <c r="F68" s="24" t="n"/>
      <c r="G68" s="24" t="n"/>
      <c r="H68" s="24" t="n"/>
      <c r="I68" s="24" t="n"/>
      <c r="J68" s="24" t="n"/>
      <c r="K68" s="25">
        <f>COUNTIF(C68:J68,TRUE)/8</f>
        <v/>
      </c>
      <c r="L68" s="26">
        <f>REPT("▰",ROUND(K68*10))&amp;REPT("▱",10-ROUND(K68*10))</f>
        <v/>
      </c>
      <c r="M68" s="27" t="n"/>
      <c r="N68" s="27" t="n"/>
      <c r="O68" s="24" t="n"/>
      <c r="P68" s="28" t="n"/>
      <c r="Q68" s="1">
        <f>IF(K68&gt;=0.8,Q67+1,0)</f>
        <v/>
      </c>
      <c r="R68" s="1" t="n"/>
    </row>
    <row r="69" ht="21" customHeight="1">
      <c r="A69" s="22">
        <f>DATE(2026,10,1)+60</f>
        <v/>
      </c>
      <c r="B69" s="23">
        <f>CHOOSE(WEEKDAY(A69,2),"Пн","Вт","Ср","Чт","Пт","Сб","Вс")</f>
        <v/>
      </c>
      <c r="C69" s="24" t="n"/>
      <c r="D69" s="24" t="n"/>
      <c r="E69" s="24" t="n"/>
      <c r="F69" s="24" t="n"/>
      <c r="G69" s="24" t="n"/>
      <c r="H69" s="24" t="n"/>
      <c r="I69" s="24" t="n"/>
      <c r="J69" s="24" t="n"/>
      <c r="K69" s="25">
        <f>COUNTIF(C69:J69,TRUE)/8</f>
        <v/>
      </c>
      <c r="L69" s="26">
        <f>REPT("▰",ROUND(K69*10))&amp;REPT("▱",10-ROUND(K69*10))</f>
        <v/>
      </c>
      <c r="M69" s="27" t="n"/>
      <c r="N69" s="27" t="n"/>
      <c r="O69" s="24" t="n"/>
      <c r="P69" s="28" t="n"/>
      <c r="Q69" s="1">
        <f>IF(K69&gt;=0.8,Q68+1,0)</f>
        <v/>
      </c>
      <c r="R69" s="1" t="n"/>
    </row>
    <row r="70" ht="21" customHeight="1">
      <c r="A70" s="22">
        <f>DATE(2026,10,1)+61</f>
        <v/>
      </c>
      <c r="B70" s="23">
        <f>CHOOSE(WEEKDAY(A70,2),"Пн","Вт","Ср","Чт","Пт","Сб","Вс")</f>
        <v/>
      </c>
      <c r="C70" s="24" t="n"/>
      <c r="D70" s="24" t="n"/>
      <c r="E70" s="24" t="n"/>
      <c r="F70" s="24" t="n"/>
      <c r="G70" s="24" t="n"/>
      <c r="H70" s="24" t="n"/>
      <c r="I70" s="24" t="n"/>
      <c r="J70" s="24" t="n"/>
      <c r="K70" s="25">
        <f>COUNTIF(C70:J70,TRUE)/8</f>
        <v/>
      </c>
      <c r="L70" s="26">
        <f>REPT("▰",ROUND(K70*10))&amp;REPT("▱",10-ROUND(K70*10))</f>
        <v/>
      </c>
      <c r="M70" s="27" t="n"/>
      <c r="N70" s="27" t="n"/>
      <c r="O70" s="24" t="n"/>
      <c r="P70" s="28" t="n"/>
      <c r="Q70" s="1">
        <f>IF(K70&gt;=0.8,Q69+1,0)</f>
        <v/>
      </c>
      <c r="R70" s="1" t="n"/>
    </row>
    <row r="71" ht="21" customHeight="1">
      <c r="A71" s="22">
        <f>DATE(2026,10,1)+62</f>
        <v/>
      </c>
      <c r="B71" s="23">
        <f>CHOOSE(WEEKDAY(A71,2),"Пн","Вт","Ср","Чт","Пт","Сб","Вс")</f>
        <v/>
      </c>
      <c r="C71" s="24" t="n"/>
      <c r="D71" s="24" t="n"/>
      <c r="E71" s="24" t="n"/>
      <c r="F71" s="24" t="n"/>
      <c r="G71" s="24" t="n"/>
      <c r="H71" s="24" t="n"/>
      <c r="I71" s="24" t="n"/>
      <c r="J71" s="24" t="n"/>
      <c r="K71" s="25">
        <f>COUNTIF(C71:J71,TRUE)/8</f>
        <v/>
      </c>
      <c r="L71" s="26">
        <f>REPT("▰",ROUND(K71*10))&amp;REPT("▱",10-ROUND(K71*10))</f>
        <v/>
      </c>
      <c r="M71" s="27" t="n"/>
      <c r="N71" s="27" t="n"/>
      <c r="O71" s="24" t="n"/>
      <c r="P71" s="28" t="n"/>
      <c r="Q71" s="1">
        <f>IF(K71&gt;=0.8,Q70+1,0)</f>
        <v/>
      </c>
      <c r="R71" s="1" t="n"/>
    </row>
    <row r="72" ht="21" customHeight="1">
      <c r="A72" s="22">
        <f>DATE(2026,10,1)+63</f>
        <v/>
      </c>
      <c r="B72" s="23">
        <f>CHOOSE(WEEKDAY(A72,2),"Пн","Вт","Ср","Чт","Пт","Сб","Вс")</f>
        <v/>
      </c>
      <c r="C72" s="24" t="n"/>
      <c r="D72" s="24" t="n"/>
      <c r="E72" s="24" t="n"/>
      <c r="F72" s="24" t="n"/>
      <c r="G72" s="24" t="n"/>
      <c r="H72" s="24" t="n"/>
      <c r="I72" s="24" t="n"/>
      <c r="J72" s="24" t="n"/>
      <c r="K72" s="25">
        <f>COUNTIF(C72:J72,TRUE)/8</f>
        <v/>
      </c>
      <c r="L72" s="26">
        <f>REPT("▰",ROUND(K72*10))&amp;REPT("▱",10-ROUND(K72*10))</f>
        <v/>
      </c>
      <c r="M72" s="27" t="n"/>
      <c r="N72" s="27" t="n"/>
      <c r="O72" s="24" t="n"/>
      <c r="P72" s="28" t="n"/>
      <c r="Q72" s="1">
        <f>IF(K72&gt;=0.8,Q71+1,0)</f>
        <v/>
      </c>
      <c r="R72" s="1" t="n"/>
    </row>
    <row r="73" ht="21" customHeight="1">
      <c r="A73" s="22">
        <f>DATE(2026,10,1)+64</f>
        <v/>
      </c>
      <c r="B73" s="23">
        <f>CHOOSE(WEEKDAY(A73,2),"Пн","Вт","Ср","Чт","Пт","Сб","Вс")</f>
        <v/>
      </c>
      <c r="C73" s="24" t="n"/>
      <c r="D73" s="24" t="n"/>
      <c r="E73" s="24" t="n"/>
      <c r="F73" s="24" t="n"/>
      <c r="G73" s="24" t="n"/>
      <c r="H73" s="24" t="n"/>
      <c r="I73" s="24" t="n"/>
      <c r="J73" s="24" t="n"/>
      <c r="K73" s="25">
        <f>COUNTIF(C73:J73,TRUE)/8</f>
        <v/>
      </c>
      <c r="L73" s="26">
        <f>REPT("▰",ROUND(K73*10))&amp;REPT("▱",10-ROUND(K73*10))</f>
        <v/>
      </c>
      <c r="M73" s="27" t="n"/>
      <c r="N73" s="27" t="n"/>
      <c r="O73" s="24" t="n"/>
      <c r="P73" s="28" t="n"/>
      <c r="Q73" s="1">
        <f>IF(K73&gt;=0.8,Q72+1,0)</f>
        <v/>
      </c>
      <c r="R73" s="1" t="n"/>
    </row>
    <row r="74" ht="21" customHeight="1">
      <c r="A74" s="22">
        <f>DATE(2026,10,1)+65</f>
        <v/>
      </c>
      <c r="B74" s="23">
        <f>CHOOSE(WEEKDAY(A74,2),"Пн","Вт","Ср","Чт","Пт","Сб","Вс")</f>
        <v/>
      </c>
      <c r="C74" s="24" t="n"/>
      <c r="D74" s="24" t="n"/>
      <c r="E74" s="24" t="n"/>
      <c r="F74" s="24" t="n"/>
      <c r="G74" s="24" t="n"/>
      <c r="H74" s="24" t="n"/>
      <c r="I74" s="24" t="n"/>
      <c r="J74" s="24" t="n"/>
      <c r="K74" s="25">
        <f>COUNTIF(C74:J74,TRUE)/8</f>
        <v/>
      </c>
      <c r="L74" s="26">
        <f>REPT("▰",ROUND(K74*10))&amp;REPT("▱",10-ROUND(K74*10))</f>
        <v/>
      </c>
      <c r="M74" s="27" t="n"/>
      <c r="N74" s="27" t="n"/>
      <c r="O74" s="24" t="n"/>
      <c r="P74" s="28" t="n"/>
      <c r="Q74" s="1">
        <f>IF(K74&gt;=0.8,Q73+1,0)</f>
        <v/>
      </c>
      <c r="R74" s="1" t="n"/>
    </row>
    <row r="75" ht="21" customHeight="1">
      <c r="A75" s="22">
        <f>DATE(2026,10,1)+66</f>
        <v/>
      </c>
      <c r="B75" s="23">
        <f>CHOOSE(WEEKDAY(A75,2),"Пн","Вт","Ср","Чт","Пт","Сб","Вс")</f>
        <v/>
      </c>
      <c r="C75" s="24" t="n"/>
      <c r="D75" s="24" t="n"/>
      <c r="E75" s="24" t="n"/>
      <c r="F75" s="24" t="n"/>
      <c r="G75" s="24" t="n"/>
      <c r="H75" s="24" t="n"/>
      <c r="I75" s="24" t="n"/>
      <c r="J75" s="24" t="n"/>
      <c r="K75" s="25">
        <f>COUNTIF(C75:J75,TRUE)/8</f>
        <v/>
      </c>
      <c r="L75" s="26">
        <f>REPT("▰",ROUND(K75*10))&amp;REPT("▱",10-ROUND(K75*10))</f>
        <v/>
      </c>
      <c r="M75" s="27" t="n"/>
      <c r="N75" s="27" t="n"/>
      <c r="O75" s="24" t="n"/>
      <c r="P75" s="28" t="n"/>
      <c r="Q75" s="1">
        <f>IF(K75&gt;=0.8,Q74+1,0)</f>
        <v/>
      </c>
      <c r="R75" s="1" t="n"/>
    </row>
    <row r="76" ht="21" customHeight="1">
      <c r="A76" s="22">
        <f>DATE(2026,10,1)+67</f>
        <v/>
      </c>
      <c r="B76" s="23">
        <f>CHOOSE(WEEKDAY(A76,2),"Пн","Вт","Ср","Чт","Пт","Сб","Вс")</f>
        <v/>
      </c>
      <c r="C76" s="24" t="n"/>
      <c r="D76" s="24" t="n"/>
      <c r="E76" s="24" t="n"/>
      <c r="F76" s="24" t="n"/>
      <c r="G76" s="24" t="n"/>
      <c r="H76" s="24" t="n"/>
      <c r="I76" s="24" t="n"/>
      <c r="J76" s="24" t="n"/>
      <c r="K76" s="25">
        <f>COUNTIF(C76:J76,TRUE)/8</f>
        <v/>
      </c>
      <c r="L76" s="26">
        <f>REPT("▰",ROUND(K76*10))&amp;REPT("▱",10-ROUND(K76*10))</f>
        <v/>
      </c>
      <c r="M76" s="27" t="n"/>
      <c r="N76" s="27" t="n"/>
      <c r="O76" s="24" t="n"/>
      <c r="P76" s="28" t="n"/>
      <c r="Q76" s="1">
        <f>IF(K76&gt;=0.8,Q75+1,0)</f>
        <v/>
      </c>
      <c r="R76" s="1" t="n"/>
    </row>
    <row r="77" ht="21" customHeight="1">
      <c r="A77" s="22">
        <f>DATE(2026,10,1)+68</f>
        <v/>
      </c>
      <c r="B77" s="23">
        <f>CHOOSE(WEEKDAY(A77,2),"Пн","Вт","Ср","Чт","Пт","Сб","Вс")</f>
        <v/>
      </c>
      <c r="C77" s="24" t="n"/>
      <c r="D77" s="24" t="n"/>
      <c r="E77" s="24" t="n"/>
      <c r="F77" s="24" t="n"/>
      <c r="G77" s="24" t="n"/>
      <c r="H77" s="24" t="n"/>
      <c r="I77" s="24" t="n"/>
      <c r="J77" s="24" t="n"/>
      <c r="K77" s="25">
        <f>COUNTIF(C77:J77,TRUE)/8</f>
        <v/>
      </c>
      <c r="L77" s="26">
        <f>REPT("▰",ROUND(K77*10))&amp;REPT("▱",10-ROUND(K77*10))</f>
        <v/>
      </c>
      <c r="M77" s="27" t="n"/>
      <c r="N77" s="27" t="n"/>
      <c r="O77" s="24" t="n"/>
      <c r="P77" s="28" t="n"/>
      <c r="Q77" s="1">
        <f>IF(K77&gt;=0.8,Q76+1,0)</f>
        <v/>
      </c>
      <c r="R77" s="1" t="n"/>
    </row>
    <row r="78" ht="21" customHeight="1">
      <c r="A78" s="22">
        <f>DATE(2026,10,1)+69</f>
        <v/>
      </c>
      <c r="B78" s="23">
        <f>CHOOSE(WEEKDAY(A78,2),"Пн","Вт","Ср","Чт","Пт","Сб","Вс")</f>
        <v/>
      </c>
      <c r="C78" s="24" t="n"/>
      <c r="D78" s="24" t="n"/>
      <c r="E78" s="24" t="n"/>
      <c r="F78" s="24" t="n"/>
      <c r="G78" s="24" t="n"/>
      <c r="H78" s="24" t="n"/>
      <c r="I78" s="24" t="n"/>
      <c r="J78" s="24" t="n"/>
      <c r="K78" s="25">
        <f>COUNTIF(C78:J78,TRUE)/8</f>
        <v/>
      </c>
      <c r="L78" s="26">
        <f>REPT("▰",ROUND(K78*10))&amp;REPT("▱",10-ROUND(K78*10))</f>
        <v/>
      </c>
      <c r="M78" s="27" t="n"/>
      <c r="N78" s="27" t="n"/>
      <c r="O78" s="24" t="n"/>
      <c r="P78" s="28" t="n"/>
      <c r="Q78" s="1">
        <f>IF(K78&gt;=0.8,Q77+1,0)</f>
        <v/>
      </c>
      <c r="R78" s="1" t="n"/>
    </row>
    <row r="79" ht="21" customHeight="1">
      <c r="A79" s="22">
        <f>DATE(2026,10,1)+70</f>
        <v/>
      </c>
      <c r="B79" s="23">
        <f>CHOOSE(WEEKDAY(A79,2),"Пн","Вт","Ср","Чт","Пт","Сб","Вс")</f>
        <v/>
      </c>
      <c r="C79" s="24" t="n"/>
      <c r="D79" s="24" t="n"/>
      <c r="E79" s="24" t="n"/>
      <c r="F79" s="24" t="n"/>
      <c r="G79" s="24" t="n"/>
      <c r="H79" s="24" t="n"/>
      <c r="I79" s="24" t="n"/>
      <c r="J79" s="24" t="n"/>
      <c r="K79" s="25">
        <f>COUNTIF(C79:J79,TRUE)/8</f>
        <v/>
      </c>
      <c r="L79" s="26">
        <f>REPT("▰",ROUND(K79*10))&amp;REPT("▱",10-ROUND(K79*10))</f>
        <v/>
      </c>
      <c r="M79" s="27" t="n"/>
      <c r="N79" s="27" t="n"/>
      <c r="O79" s="24" t="n"/>
      <c r="P79" s="28" t="n"/>
      <c r="Q79" s="1">
        <f>IF(K79&gt;=0.8,Q78+1,0)</f>
        <v/>
      </c>
      <c r="R79" s="1" t="n"/>
    </row>
    <row r="80" ht="21" customHeight="1">
      <c r="A80" s="22">
        <f>DATE(2026,10,1)+71</f>
        <v/>
      </c>
      <c r="B80" s="23">
        <f>CHOOSE(WEEKDAY(A80,2),"Пн","Вт","Ср","Чт","Пт","Сб","Вс")</f>
        <v/>
      </c>
      <c r="C80" s="24" t="n"/>
      <c r="D80" s="24" t="n"/>
      <c r="E80" s="24" t="n"/>
      <c r="F80" s="24" t="n"/>
      <c r="G80" s="24" t="n"/>
      <c r="H80" s="24" t="n"/>
      <c r="I80" s="24" t="n"/>
      <c r="J80" s="24" t="n"/>
      <c r="K80" s="25">
        <f>COUNTIF(C80:J80,TRUE)/8</f>
        <v/>
      </c>
      <c r="L80" s="26">
        <f>REPT("▰",ROUND(K80*10))&amp;REPT("▱",10-ROUND(K80*10))</f>
        <v/>
      </c>
      <c r="M80" s="27" t="n"/>
      <c r="N80" s="27" t="n"/>
      <c r="O80" s="24" t="n"/>
      <c r="P80" s="28" t="n"/>
      <c r="Q80" s="1">
        <f>IF(K80&gt;=0.8,Q79+1,0)</f>
        <v/>
      </c>
      <c r="R80" s="1" t="n"/>
    </row>
    <row r="81" ht="21" customHeight="1">
      <c r="A81" s="22">
        <f>DATE(2026,10,1)+72</f>
        <v/>
      </c>
      <c r="B81" s="23">
        <f>CHOOSE(WEEKDAY(A81,2),"Пн","Вт","Ср","Чт","Пт","Сб","Вс")</f>
        <v/>
      </c>
      <c r="C81" s="24" t="n"/>
      <c r="D81" s="24" t="n"/>
      <c r="E81" s="24" t="n"/>
      <c r="F81" s="24" t="n"/>
      <c r="G81" s="24" t="n"/>
      <c r="H81" s="24" t="n"/>
      <c r="I81" s="24" t="n"/>
      <c r="J81" s="24" t="n"/>
      <c r="K81" s="25">
        <f>COUNTIF(C81:J81,TRUE)/8</f>
        <v/>
      </c>
      <c r="L81" s="26">
        <f>REPT("▰",ROUND(K81*10))&amp;REPT("▱",10-ROUND(K81*10))</f>
        <v/>
      </c>
      <c r="M81" s="27" t="n"/>
      <c r="N81" s="27" t="n"/>
      <c r="O81" s="24" t="n"/>
      <c r="P81" s="28" t="n"/>
      <c r="Q81" s="1">
        <f>IF(K81&gt;=0.8,Q80+1,0)</f>
        <v/>
      </c>
      <c r="R81" s="1" t="n"/>
    </row>
    <row r="82" ht="21" customHeight="1">
      <c r="A82" s="22">
        <f>DATE(2026,10,1)+73</f>
        <v/>
      </c>
      <c r="B82" s="23">
        <f>CHOOSE(WEEKDAY(A82,2),"Пн","Вт","Ср","Чт","Пт","Сб","Вс")</f>
        <v/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5">
        <f>COUNTIF(C82:J82,TRUE)/8</f>
        <v/>
      </c>
      <c r="L82" s="26">
        <f>REPT("▰",ROUND(K82*10))&amp;REPT("▱",10-ROUND(K82*10))</f>
        <v/>
      </c>
      <c r="M82" s="27" t="n"/>
      <c r="N82" s="27" t="n"/>
      <c r="O82" s="24" t="n"/>
      <c r="P82" s="28" t="n"/>
      <c r="Q82" s="1">
        <f>IF(K82&gt;=0.8,Q81+1,0)</f>
        <v/>
      </c>
      <c r="R82" s="1" t="n"/>
    </row>
    <row r="83" ht="21" customHeight="1">
      <c r="A83" s="22">
        <f>DATE(2026,10,1)+74</f>
        <v/>
      </c>
      <c r="B83" s="23">
        <f>CHOOSE(WEEKDAY(A83,2),"Пн","Вт","Ср","Чт","Пт","Сб","Вс")</f>
        <v/>
      </c>
      <c r="C83" s="24" t="n"/>
      <c r="D83" s="24" t="n"/>
      <c r="E83" s="24" t="n"/>
      <c r="F83" s="24" t="n"/>
      <c r="G83" s="24" t="n"/>
      <c r="H83" s="24" t="n"/>
      <c r="I83" s="24" t="n"/>
      <c r="J83" s="24" t="n"/>
      <c r="K83" s="25">
        <f>COUNTIF(C83:J83,TRUE)/8</f>
        <v/>
      </c>
      <c r="L83" s="26">
        <f>REPT("▰",ROUND(K83*10))&amp;REPT("▱",10-ROUND(K83*10))</f>
        <v/>
      </c>
      <c r="M83" s="27" t="n"/>
      <c r="N83" s="27" t="n"/>
      <c r="O83" s="24" t="n"/>
      <c r="P83" s="28" t="n"/>
      <c r="Q83" s="1">
        <f>IF(K83&gt;=0.8,Q82+1,0)</f>
        <v/>
      </c>
      <c r="R83" s="1" t="n"/>
    </row>
    <row r="84" ht="21" customHeight="1">
      <c r="A84" s="22">
        <f>DATE(2026,10,1)+75</f>
        <v/>
      </c>
      <c r="B84" s="23">
        <f>CHOOSE(WEEKDAY(A84,2),"Пн","Вт","Ср","Чт","Пт","Сб","Вс")</f>
        <v/>
      </c>
      <c r="C84" s="24" t="n"/>
      <c r="D84" s="24" t="n"/>
      <c r="E84" s="24" t="n"/>
      <c r="F84" s="24" t="n"/>
      <c r="G84" s="24" t="n"/>
      <c r="H84" s="24" t="n"/>
      <c r="I84" s="24" t="n"/>
      <c r="J84" s="24" t="n"/>
      <c r="K84" s="25">
        <f>COUNTIF(C84:J84,TRUE)/8</f>
        <v/>
      </c>
      <c r="L84" s="26">
        <f>REPT("▰",ROUND(K84*10))&amp;REPT("▱",10-ROUND(K84*10))</f>
        <v/>
      </c>
      <c r="M84" s="27" t="n"/>
      <c r="N84" s="27" t="n"/>
      <c r="O84" s="24" t="n"/>
      <c r="P84" s="28" t="n"/>
      <c r="Q84" s="1">
        <f>IF(K84&gt;=0.8,Q83+1,0)</f>
        <v/>
      </c>
      <c r="R84" s="1" t="n"/>
    </row>
    <row r="85" ht="21" customHeight="1">
      <c r="A85" s="22">
        <f>DATE(2026,10,1)+76</f>
        <v/>
      </c>
      <c r="B85" s="23">
        <f>CHOOSE(WEEKDAY(A85,2),"Пн","Вт","Ср","Чт","Пт","Сб","Вс")</f>
        <v/>
      </c>
      <c r="C85" s="24" t="n"/>
      <c r="D85" s="24" t="n"/>
      <c r="E85" s="24" t="n"/>
      <c r="F85" s="24" t="n"/>
      <c r="G85" s="24" t="n"/>
      <c r="H85" s="24" t="n"/>
      <c r="I85" s="24" t="n"/>
      <c r="J85" s="24" t="n"/>
      <c r="K85" s="25">
        <f>COUNTIF(C85:J85,TRUE)/8</f>
        <v/>
      </c>
      <c r="L85" s="26">
        <f>REPT("▰",ROUND(K85*10))&amp;REPT("▱",10-ROUND(K85*10))</f>
        <v/>
      </c>
      <c r="M85" s="27" t="n"/>
      <c r="N85" s="27" t="n"/>
      <c r="O85" s="24" t="n"/>
      <c r="P85" s="28" t="n"/>
      <c r="Q85" s="1">
        <f>IF(K85&gt;=0.8,Q84+1,0)</f>
        <v/>
      </c>
      <c r="R85" s="1" t="n"/>
    </row>
    <row r="86" ht="21" customHeight="1">
      <c r="A86" s="22">
        <f>DATE(2026,10,1)+77</f>
        <v/>
      </c>
      <c r="B86" s="23">
        <f>CHOOSE(WEEKDAY(A86,2),"Пн","Вт","Ср","Чт","Пт","Сб","Вс")</f>
        <v/>
      </c>
      <c r="C86" s="24" t="n"/>
      <c r="D86" s="24" t="n"/>
      <c r="E86" s="24" t="n"/>
      <c r="F86" s="24" t="n"/>
      <c r="G86" s="24" t="n"/>
      <c r="H86" s="24" t="n"/>
      <c r="I86" s="24" t="n"/>
      <c r="J86" s="24" t="n"/>
      <c r="K86" s="25">
        <f>COUNTIF(C86:J86,TRUE)/8</f>
        <v/>
      </c>
      <c r="L86" s="26">
        <f>REPT("▰",ROUND(K86*10))&amp;REPT("▱",10-ROUND(K86*10))</f>
        <v/>
      </c>
      <c r="M86" s="27" t="n"/>
      <c r="N86" s="27" t="n"/>
      <c r="O86" s="24" t="n"/>
      <c r="P86" s="28" t="n"/>
      <c r="Q86" s="1">
        <f>IF(K86&gt;=0.8,Q85+1,0)</f>
        <v/>
      </c>
      <c r="R86" s="1" t="n"/>
    </row>
    <row r="87" ht="21" customHeight="1">
      <c r="A87" s="22">
        <f>DATE(2026,10,1)+78</f>
        <v/>
      </c>
      <c r="B87" s="23">
        <f>CHOOSE(WEEKDAY(A87,2),"Пн","Вт","Ср","Чт","Пт","Сб","Вс")</f>
        <v/>
      </c>
      <c r="C87" s="24" t="n"/>
      <c r="D87" s="24" t="n"/>
      <c r="E87" s="24" t="n"/>
      <c r="F87" s="24" t="n"/>
      <c r="G87" s="24" t="n"/>
      <c r="H87" s="24" t="n"/>
      <c r="I87" s="24" t="n"/>
      <c r="J87" s="24" t="n"/>
      <c r="K87" s="25">
        <f>COUNTIF(C87:J87,TRUE)/8</f>
        <v/>
      </c>
      <c r="L87" s="26">
        <f>REPT("▰",ROUND(K87*10))&amp;REPT("▱",10-ROUND(K87*10))</f>
        <v/>
      </c>
      <c r="M87" s="27" t="n"/>
      <c r="N87" s="27" t="n"/>
      <c r="O87" s="24" t="n"/>
      <c r="P87" s="28" t="n"/>
      <c r="Q87" s="1">
        <f>IF(K87&gt;=0.8,Q86+1,0)</f>
        <v/>
      </c>
      <c r="R87" s="1" t="n"/>
    </row>
    <row r="88" ht="21" customHeight="1">
      <c r="A88" s="22">
        <f>DATE(2026,10,1)+79</f>
        <v/>
      </c>
      <c r="B88" s="23">
        <f>CHOOSE(WEEKDAY(A88,2),"Пн","Вт","Ср","Чт","Пт","Сб","Вс")</f>
        <v/>
      </c>
      <c r="C88" s="24" t="n"/>
      <c r="D88" s="24" t="n"/>
      <c r="E88" s="24" t="n"/>
      <c r="F88" s="24" t="n"/>
      <c r="G88" s="24" t="n"/>
      <c r="H88" s="24" t="n"/>
      <c r="I88" s="24" t="n"/>
      <c r="J88" s="24" t="n"/>
      <c r="K88" s="25">
        <f>COUNTIF(C88:J88,TRUE)/8</f>
        <v/>
      </c>
      <c r="L88" s="26">
        <f>REPT("▰",ROUND(K88*10))&amp;REPT("▱",10-ROUND(K88*10))</f>
        <v/>
      </c>
      <c r="M88" s="27" t="n"/>
      <c r="N88" s="27" t="n"/>
      <c r="O88" s="24" t="n"/>
      <c r="P88" s="28" t="n"/>
      <c r="Q88" s="1">
        <f>IF(K88&gt;=0.8,Q87+1,0)</f>
        <v/>
      </c>
      <c r="R88" s="1" t="n"/>
    </row>
    <row r="89" ht="21" customHeight="1">
      <c r="A89" s="22">
        <f>DATE(2026,10,1)+80</f>
        <v/>
      </c>
      <c r="B89" s="23">
        <f>CHOOSE(WEEKDAY(A89,2),"Пн","Вт","Ср","Чт","Пт","Сб","Вс")</f>
        <v/>
      </c>
      <c r="C89" s="24" t="n"/>
      <c r="D89" s="24" t="n"/>
      <c r="E89" s="24" t="n"/>
      <c r="F89" s="24" t="n"/>
      <c r="G89" s="24" t="n"/>
      <c r="H89" s="24" t="n"/>
      <c r="I89" s="24" t="n"/>
      <c r="J89" s="24" t="n"/>
      <c r="K89" s="25">
        <f>COUNTIF(C89:J89,TRUE)/8</f>
        <v/>
      </c>
      <c r="L89" s="26">
        <f>REPT("▰",ROUND(K89*10))&amp;REPT("▱",10-ROUND(K89*10))</f>
        <v/>
      </c>
      <c r="M89" s="27" t="n"/>
      <c r="N89" s="27" t="n"/>
      <c r="O89" s="24" t="n"/>
      <c r="P89" s="28" t="n"/>
      <c r="Q89" s="1">
        <f>IF(K89&gt;=0.8,Q88+1,0)</f>
        <v/>
      </c>
      <c r="R89" s="1" t="n"/>
    </row>
    <row r="90" ht="21" customHeight="1">
      <c r="A90" s="22">
        <f>DATE(2026,10,1)+81</f>
        <v/>
      </c>
      <c r="B90" s="23">
        <f>CHOOSE(WEEKDAY(A90,2),"Пн","Вт","Ср","Чт","Пт","Сб","Вс")</f>
        <v/>
      </c>
      <c r="C90" s="24" t="n"/>
      <c r="D90" s="24" t="n"/>
      <c r="E90" s="24" t="n"/>
      <c r="F90" s="24" t="n"/>
      <c r="G90" s="24" t="n"/>
      <c r="H90" s="24" t="n"/>
      <c r="I90" s="24" t="n"/>
      <c r="J90" s="24" t="n"/>
      <c r="K90" s="25">
        <f>COUNTIF(C90:J90,TRUE)/8</f>
        <v/>
      </c>
      <c r="L90" s="26">
        <f>REPT("▰",ROUND(K90*10))&amp;REPT("▱",10-ROUND(K90*10))</f>
        <v/>
      </c>
      <c r="M90" s="27" t="n"/>
      <c r="N90" s="27" t="n"/>
      <c r="O90" s="24" t="n"/>
      <c r="P90" s="28" t="n"/>
      <c r="Q90" s="1">
        <f>IF(K90&gt;=0.8,Q89+1,0)</f>
        <v/>
      </c>
      <c r="R90" s="1" t="n"/>
    </row>
    <row r="91" ht="21" customHeight="1">
      <c r="A91" s="22">
        <f>DATE(2026,10,1)+82</f>
        <v/>
      </c>
      <c r="B91" s="23">
        <f>CHOOSE(WEEKDAY(A91,2),"Пн","Вт","Ср","Чт","Пт","Сб","Вс")</f>
        <v/>
      </c>
      <c r="C91" s="24" t="n"/>
      <c r="D91" s="24" t="n"/>
      <c r="E91" s="24" t="n"/>
      <c r="F91" s="24" t="n"/>
      <c r="G91" s="24" t="n"/>
      <c r="H91" s="24" t="n"/>
      <c r="I91" s="24" t="n"/>
      <c r="J91" s="24" t="n"/>
      <c r="K91" s="25">
        <f>COUNTIF(C91:J91,TRUE)/8</f>
        <v/>
      </c>
      <c r="L91" s="26">
        <f>REPT("▰",ROUND(K91*10))&amp;REPT("▱",10-ROUND(K91*10))</f>
        <v/>
      </c>
      <c r="M91" s="27" t="n"/>
      <c r="N91" s="27" t="n"/>
      <c r="O91" s="24" t="n"/>
      <c r="P91" s="28" t="n"/>
      <c r="Q91" s="1">
        <f>IF(K91&gt;=0.8,Q90+1,0)</f>
        <v/>
      </c>
      <c r="R91" s="1" t="n"/>
    </row>
    <row r="92" ht="21" customHeight="1">
      <c r="A92" s="22">
        <f>DATE(2026,10,1)+83</f>
        <v/>
      </c>
      <c r="B92" s="23">
        <f>CHOOSE(WEEKDAY(A92,2),"Пн","Вт","Ср","Чт","Пт","Сб","Вс")</f>
        <v/>
      </c>
      <c r="C92" s="24" t="n"/>
      <c r="D92" s="24" t="n"/>
      <c r="E92" s="24" t="n"/>
      <c r="F92" s="24" t="n"/>
      <c r="G92" s="24" t="n"/>
      <c r="H92" s="24" t="n"/>
      <c r="I92" s="24" t="n"/>
      <c r="J92" s="24" t="n"/>
      <c r="K92" s="25">
        <f>COUNTIF(C92:J92,TRUE)/8</f>
        <v/>
      </c>
      <c r="L92" s="26">
        <f>REPT("▰",ROUND(K92*10))&amp;REPT("▱",10-ROUND(K92*10))</f>
        <v/>
      </c>
      <c r="M92" s="27" t="n"/>
      <c r="N92" s="27" t="n"/>
      <c r="O92" s="24" t="n"/>
      <c r="P92" s="28" t="n"/>
      <c r="Q92" s="1">
        <f>IF(K92&gt;=0.8,Q91+1,0)</f>
        <v/>
      </c>
      <c r="R92" s="1" t="n"/>
    </row>
    <row r="93" ht="21" customHeight="1">
      <c r="A93" s="22">
        <f>DATE(2026,10,1)+84</f>
        <v/>
      </c>
      <c r="B93" s="23">
        <f>CHOOSE(WEEKDAY(A93,2),"Пн","Вт","Ср","Чт","Пт","Сб","Вс")</f>
        <v/>
      </c>
      <c r="C93" s="24" t="n"/>
      <c r="D93" s="24" t="n"/>
      <c r="E93" s="24" t="n"/>
      <c r="F93" s="24" t="n"/>
      <c r="G93" s="24" t="n"/>
      <c r="H93" s="24" t="n"/>
      <c r="I93" s="24" t="n"/>
      <c r="J93" s="24" t="n"/>
      <c r="K93" s="25">
        <f>COUNTIF(C93:J93,TRUE)/8</f>
        <v/>
      </c>
      <c r="L93" s="26">
        <f>REPT("▰",ROUND(K93*10))&amp;REPT("▱",10-ROUND(K93*10))</f>
        <v/>
      </c>
      <c r="M93" s="27" t="n"/>
      <c r="N93" s="27" t="n"/>
      <c r="O93" s="24" t="n"/>
      <c r="P93" s="28" t="n"/>
      <c r="Q93" s="1">
        <f>IF(K93&gt;=0.8,Q92+1,0)</f>
        <v/>
      </c>
      <c r="R93" s="1" t="n"/>
    </row>
    <row r="94" ht="21" customHeight="1">
      <c r="A94" s="22">
        <f>DATE(2026,10,1)+85</f>
        <v/>
      </c>
      <c r="B94" s="23">
        <f>CHOOSE(WEEKDAY(A94,2),"Пн","Вт","Ср","Чт","Пт","Сб","Вс")</f>
        <v/>
      </c>
      <c r="C94" s="24" t="n"/>
      <c r="D94" s="24" t="n"/>
      <c r="E94" s="24" t="n"/>
      <c r="F94" s="24" t="n"/>
      <c r="G94" s="24" t="n"/>
      <c r="H94" s="24" t="n"/>
      <c r="I94" s="24" t="n"/>
      <c r="J94" s="24" t="n"/>
      <c r="K94" s="25">
        <f>COUNTIF(C94:J94,TRUE)/8</f>
        <v/>
      </c>
      <c r="L94" s="26">
        <f>REPT("▰",ROUND(K94*10))&amp;REPT("▱",10-ROUND(K94*10))</f>
        <v/>
      </c>
      <c r="M94" s="27" t="n"/>
      <c r="N94" s="27" t="n"/>
      <c r="O94" s="24" t="n"/>
      <c r="P94" s="28" t="n"/>
      <c r="Q94" s="1">
        <f>IF(K94&gt;=0.8,Q93+1,0)</f>
        <v/>
      </c>
      <c r="R94" s="1" t="n"/>
    </row>
    <row r="95" ht="21" customHeight="1">
      <c r="A95" s="22">
        <f>DATE(2026,10,1)+86</f>
        <v/>
      </c>
      <c r="B95" s="23">
        <f>CHOOSE(WEEKDAY(A95,2),"Пн","Вт","Ср","Чт","Пт","Сб","Вс")</f>
        <v/>
      </c>
      <c r="C95" s="24" t="n"/>
      <c r="D95" s="24" t="n"/>
      <c r="E95" s="24" t="n"/>
      <c r="F95" s="24" t="n"/>
      <c r="G95" s="24" t="n"/>
      <c r="H95" s="24" t="n"/>
      <c r="I95" s="24" t="n"/>
      <c r="J95" s="24" t="n"/>
      <c r="K95" s="25">
        <f>COUNTIF(C95:J95,TRUE)/8</f>
        <v/>
      </c>
      <c r="L95" s="26">
        <f>REPT("▰",ROUND(K95*10))&amp;REPT("▱",10-ROUND(K95*10))</f>
        <v/>
      </c>
      <c r="M95" s="27" t="n"/>
      <c r="N95" s="27" t="n"/>
      <c r="O95" s="24" t="n"/>
      <c r="P95" s="28" t="n"/>
      <c r="Q95" s="1">
        <f>IF(K95&gt;=0.8,Q94+1,0)</f>
        <v/>
      </c>
      <c r="R95" s="1" t="n"/>
    </row>
    <row r="96" ht="21" customHeight="1">
      <c r="A96" s="22">
        <f>DATE(2026,10,1)+87</f>
        <v/>
      </c>
      <c r="B96" s="23">
        <f>CHOOSE(WEEKDAY(A96,2),"Пн","Вт","Ср","Чт","Пт","Сб","Вс")</f>
        <v/>
      </c>
      <c r="C96" s="24" t="n"/>
      <c r="D96" s="24" t="n"/>
      <c r="E96" s="24" t="n"/>
      <c r="F96" s="24" t="n"/>
      <c r="G96" s="24" t="n"/>
      <c r="H96" s="24" t="n"/>
      <c r="I96" s="24" t="n"/>
      <c r="J96" s="24" t="n"/>
      <c r="K96" s="25">
        <f>COUNTIF(C96:J96,TRUE)/8</f>
        <v/>
      </c>
      <c r="L96" s="26">
        <f>REPT("▰",ROUND(K96*10))&amp;REPT("▱",10-ROUND(K96*10))</f>
        <v/>
      </c>
      <c r="M96" s="27" t="n"/>
      <c r="N96" s="27" t="n"/>
      <c r="O96" s="24" t="n"/>
      <c r="P96" s="28" t="n"/>
      <c r="Q96" s="1">
        <f>IF(K96&gt;=0.8,Q95+1,0)</f>
        <v/>
      </c>
      <c r="R96" s="1" t="n"/>
    </row>
    <row r="97" ht="21" customHeight="1">
      <c r="A97" s="22">
        <f>DATE(2026,10,1)+88</f>
        <v/>
      </c>
      <c r="B97" s="23">
        <f>CHOOSE(WEEKDAY(A97,2),"Пн","Вт","Ср","Чт","Пт","Сб","Вс")</f>
        <v/>
      </c>
      <c r="C97" s="24" t="n"/>
      <c r="D97" s="24" t="n"/>
      <c r="E97" s="24" t="n"/>
      <c r="F97" s="24" t="n"/>
      <c r="G97" s="24" t="n"/>
      <c r="H97" s="24" t="n"/>
      <c r="I97" s="24" t="n"/>
      <c r="J97" s="24" t="n"/>
      <c r="K97" s="25">
        <f>COUNTIF(C97:J97,TRUE)/8</f>
        <v/>
      </c>
      <c r="L97" s="26">
        <f>REPT("▰",ROUND(K97*10))&amp;REPT("▱",10-ROUND(K97*10))</f>
        <v/>
      </c>
      <c r="M97" s="27" t="n"/>
      <c r="N97" s="27" t="n"/>
      <c r="O97" s="24" t="n"/>
      <c r="P97" s="28" t="n"/>
      <c r="Q97" s="1">
        <f>IF(K97&gt;=0.8,Q96+1,0)</f>
        <v/>
      </c>
      <c r="R97" s="1" t="n"/>
    </row>
    <row r="98" ht="21" customHeight="1">
      <c r="A98" s="22">
        <f>DATE(2026,10,1)+89</f>
        <v/>
      </c>
      <c r="B98" s="23">
        <f>CHOOSE(WEEKDAY(A98,2),"Пн","Вт","Ср","Чт","Пт","Сб","Вс")</f>
        <v/>
      </c>
      <c r="C98" s="24" t="n"/>
      <c r="D98" s="24" t="n"/>
      <c r="E98" s="24" t="n"/>
      <c r="F98" s="24" t="n"/>
      <c r="G98" s="24" t="n"/>
      <c r="H98" s="24" t="n"/>
      <c r="I98" s="24" t="n"/>
      <c r="J98" s="24" t="n"/>
      <c r="K98" s="25">
        <f>COUNTIF(C98:J98,TRUE)/8</f>
        <v/>
      </c>
      <c r="L98" s="26">
        <f>REPT("▰",ROUND(K98*10))&amp;REPT("▱",10-ROUND(K98*10))</f>
        <v/>
      </c>
      <c r="M98" s="27" t="n"/>
      <c r="N98" s="27" t="n"/>
      <c r="O98" s="24" t="n"/>
      <c r="P98" s="28" t="n"/>
      <c r="Q98" s="1">
        <f>IF(K98&gt;=0.8,Q97+1,0)</f>
        <v/>
      </c>
      <c r="R98" s="1" t="n"/>
    </row>
    <row r="99" ht="21" customHeight="1">
      <c r="A99" s="22">
        <f>DATE(2026,10,1)+90</f>
        <v/>
      </c>
      <c r="B99" s="23">
        <f>CHOOSE(WEEKDAY(A99,2),"Пн","Вт","Ср","Чт","Пт","Сб","Вс")</f>
        <v/>
      </c>
      <c r="C99" s="24" t="n"/>
      <c r="D99" s="24" t="n"/>
      <c r="E99" s="24" t="n"/>
      <c r="F99" s="24" t="n"/>
      <c r="G99" s="24" t="n"/>
      <c r="H99" s="24" t="n"/>
      <c r="I99" s="24" t="n"/>
      <c r="J99" s="24" t="n"/>
      <c r="K99" s="25">
        <f>COUNTIF(C99:J99,TRUE)/8</f>
        <v/>
      </c>
      <c r="L99" s="26">
        <f>REPT("▰",ROUND(K99*10))&amp;REPT("▱",10-ROUND(K99*10))</f>
        <v/>
      </c>
      <c r="M99" s="27" t="n"/>
      <c r="N99" s="27" t="n"/>
      <c r="O99" s="24" t="n"/>
      <c r="P99" s="28" t="n"/>
      <c r="Q99" s="1">
        <f>IF(K99&gt;=0.8,Q98+1,0)</f>
        <v/>
      </c>
      <c r="R99" s="1" t="n"/>
    </row>
    <row r="100" ht="21" customHeight="1">
      <c r="A100" s="22">
        <f>DATE(2026,10,1)+91</f>
        <v/>
      </c>
      <c r="B100" s="23">
        <f>CHOOSE(WEEKDAY(A100,2),"Пн","Вт","Ср","Чт","Пт","Сб","Вс")</f>
        <v/>
      </c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5">
        <f>COUNTIF(C100:J100,TRUE)/8</f>
        <v/>
      </c>
      <c r="L100" s="26">
        <f>REPT("▰",ROUND(K100*10))&amp;REPT("▱",10-ROUND(K100*10))</f>
        <v/>
      </c>
      <c r="M100" s="27" t="n"/>
      <c r="N100" s="27" t="n"/>
      <c r="O100" s="24" t="n"/>
      <c r="P100" s="28" t="n"/>
      <c r="Q100" s="1">
        <f>IF(K100&gt;=0.8,Q99+1,0)</f>
        <v/>
      </c>
      <c r="R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</row>
  </sheetData>
  <mergeCells count="14">
    <mergeCell ref="A5:P5"/>
    <mergeCell ref="M4:P4"/>
    <mergeCell ref="A7:B7"/>
    <mergeCell ref="M3:P3"/>
    <mergeCell ref="A1:P1"/>
    <mergeCell ref="D4:F4"/>
    <mergeCell ref="D3:F3"/>
    <mergeCell ref="A3:C3"/>
    <mergeCell ref="G3:I3"/>
    <mergeCell ref="G4:I4"/>
    <mergeCell ref="J4:L4"/>
    <mergeCell ref="A4:C4"/>
    <mergeCell ref="J3:L3"/>
    <mergeCell ref="A2:P2"/>
  </mergeCells>
  <conditionalFormatting sqref="A9:P100">
    <cfRule type="expression" priority="1" dxfId="0">
      <formula>ISODD(ROW()-9)</formula>
    </cfRule>
    <cfRule type="expression" priority="2" dxfId="1" stopIfTrue="1">
      <formula>$A9=TODAY()</formula>
    </cfRule>
  </conditionalFormatting>
  <conditionalFormatting sqref="C9:J100">
    <cfRule type="expression" priority="3" dxfId="2">
      <formula>C9=TRUE</formula>
    </cfRule>
  </conditionalFormatting>
  <conditionalFormatting sqref="A9:B100">
    <cfRule type="expression" priority="4" dxfId="3">
      <formula>$A9&gt;TODAY()</formula>
    </cfRule>
  </conditionalFormatting>
  <conditionalFormatting sqref="K9:K100">
    <cfRule type="colorScale" priority="5">
      <colorScale>
        <cfvo type="num" val="0"/>
        <cfvo type="num" val="1"/>
        <color rgb="0016203A"/>
        <color rgb="0038BDF8"/>
      </colorScale>
    </cfRule>
  </conditionalFormatting>
  <dataValidations count="3">
    <dataValidation sqref="M9:M100" showDropDown="0" showInputMessage="1" showErrorMessage="1" allowBlank="0" error="Сколько часов спал(а): от 0 до 24" prompt="Сколько часов спал(а): от 0 до 24" type="decimal" operator="between">
      <formula1>0</formula1>
      <formula2>24</formula2>
    </dataValidation>
    <dataValidation sqref="N9:N100" showDropDown="0" showInputMessage="1" showErrorMessage="1" allowBlank="0" error="Вес в кг" prompt="Вес в кг" type="decimal" operator="between">
      <formula1>20</formula1>
      <formula2>300</formula2>
    </dataValidation>
    <dataValidation sqref="O9:O100" showDropDown="0" showInputMessage="1" showErrorMessage="1" allowBlank="0" error="Настроение от 1 до 5" prompt="Настроение от 1 до 5" type="decimal" operator="between">
      <formula1>1</formula1>
      <formula2>5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A5B4FC"/>
    <outlinePr summaryBelow="1" summaryRight="1"/>
    <pageSetUpPr/>
  </sheetPr>
  <dimension ref="A1:R106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8.43" customWidth="1" min="1" max="1"/>
    <col width="5.29" customWidth="1" min="2" max="2"/>
    <col width="11.86" customWidth="1" min="3" max="3"/>
    <col width="11.86" customWidth="1" min="4" max="4"/>
    <col width="11.86" customWidth="1" min="5" max="5"/>
    <col width="11.86" customWidth="1" min="6" max="6"/>
    <col width="11.86" customWidth="1" min="7" max="7"/>
    <col width="11.86" customWidth="1" min="8" max="8"/>
    <col width="11.86" customWidth="1" min="9" max="9"/>
    <col width="11.86" customWidth="1" min="10" max="10"/>
    <col width="7.57" customWidth="1" min="11" max="11"/>
    <col width="14.71" customWidth="1" min="12" max="12"/>
    <col width="8.43" customWidth="1" min="13" max="13"/>
    <col width="8.43" customWidth="1" min="14" max="14"/>
    <col width="8.43" customWidth="1" min="15" max="15"/>
    <col width="33.57" customWidth="1" min="16" max="16"/>
    <col hidden="1" width="3.57" customWidth="1" min="17" max="17"/>
  </cols>
  <sheetData>
    <row r="1" ht="42" customHeight="1">
      <c r="A1" s="9" t="inlineStr">
        <is>
          <t xml:space="preserve">  ❄ WINTER ARC · HER 2026</t>
        </is>
      </c>
      <c r="Q1" s="1" t="n"/>
      <c r="R1" s="1" t="n"/>
    </row>
    <row r="2" ht="19.5" customHeight="1">
      <c r="A2" s="29" t="inlineStr">
        <is>
          <t xml:space="preserve">   01.10 → 31.12  ·  92 дней  ·  день засчитан при ≥ 80%  ·  не рви серию</t>
        </is>
      </c>
      <c r="Q2" s="1" t="n"/>
      <c r="R2" s="1" t="n"/>
    </row>
    <row r="3" ht="16.5" customHeight="1">
      <c r="A3" s="11" t="inlineStr">
        <is>
          <t>ОБЩИЙ ПРОГРЕСС</t>
        </is>
      </c>
      <c r="B3" s="12" t="n"/>
      <c r="C3" s="12" t="n"/>
      <c r="D3" s="11" t="inlineStr">
        <is>
          <t>ДНЕЙ ЗАСЧИТАНО</t>
        </is>
      </c>
      <c r="E3" s="12" t="n"/>
      <c r="F3" s="12" t="n"/>
      <c r="G3" s="11" t="inlineStr">
        <is>
          <t>СЕРИЯ СЕЙЧАС</t>
        </is>
      </c>
      <c r="H3" s="12" t="n"/>
      <c r="I3" s="12" t="n"/>
      <c r="J3" s="11" t="inlineStr">
        <is>
          <t>ЛУЧШАЯ СЕРИЯ</t>
        </is>
      </c>
      <c r="K3" s="12" t="n"/>
      <c r="L3" s="12" t="n"/>
      <c r="M3" s="11" t="inlineStr">
        <is>
          <t>ДО ФИНИША</t>
        </is>
      </c>
      <c r="N3" s="12" t="n"/>
      <c r="O3" s="12" t="n"/>
      <c r="P3" s="12" t="n"/>
      <c r="Q3" s="1" t="n"/>
      <c r="R3" s="1" t="n"/>
    </row>
    <row r="4" ht="33" customHeight="1">
      <c r="A4" s="30">
        <f>IFERROR(AVERAGEIFS(K9:K100,A9:A100,"&lt;="&amp;TODAY()),0)</f>
        <v/>
      </c>
      <c r="B4" s="12" t="n"/>
      <c r="C4" s="12" t="n"/>
      <c r="D4" s="31">
        <f>COUNTIF(K9:K100,"&gt;="&amp;0.8)</f>
        <v/>
      </c>
      <c r="E4" s="12" t="n"/>
      <c r="F4" s="12" t="n"/>
      <c r="G4" s="31">
        <f>MAX(IFERROR(INDEX(Q9:Q100,MATCH(TODAY(),A9:A100,0)),0),IFERROR(INDEX(Q9:Q100,MATCH(TODAY()-1,A9:A100,0)),0))</f>
        <v/>
      </c>
      <c r="H4" s="12" t="n"/>
      <c r="I4" s="12" t="n"/>
      <c r="J4" s="31">
        <f>MAX(Q9:Q100)</f>
        <v/>
      </c>
      <c r="K4" s="12" t="n"/>
      <c r="L4" s="12" t="n"/>
      <c r="M4" s="32">
        <f>IF(TODAY()&lt;DATE(2026,10,1),"старт через "&amp;(DATE(2026,10,1)-TODAY())&amp;" дн.",IF(TODAY()&gt;(DATE(2026,10,1)+91),"арка пройдена ❄",((DATE(2026,10,1)+91)-TODAY())&amp;" дн."))</f>
        <v/>
      </c>
      <c r="N4" s="12" t="n"/>
      <c r="O4" s="12" t="n"/>
      <c r="P4" s="12" t="n"/>
      <c r="Q4" s="1" t="n"/>
      <c r="R4" s="1" t="n"/>
    </row>
    <row r="5" ht="25.5" customHeight="1">
      <c r="A5" s="33">
        <f>REPT("▰",ROUND(A4*40))&amp;REPT("▱",40-ROUND(A4*40))&amp;"   "&amp;TEXT(A4,"0%")</f>
        <v/>
      </c>
      <c r="Q5" s="1" t="n"/>
      <c r="R5" s="1" t="n"/>
    </row>
    <row r="6" ht="7.5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</row>
    <row r="7" ht="19.5" customHeight="1">
      <c r="A7" s="17" t="inlineStr">
        <is>
          <t>ИТОГ</t>
        </is>
      </c>
      <c r="C7" s="34">
        <f>IFERROR(COUNTIF(C9:C100,TRUE)/COUNTIF(A9:A100,"&lt;="&amp;TODAY()),0)</f>
        <v/>
      </c>
      <c r="D7" s="34">
        <f>IFERROR(COUNTIF(D9:D100,TRUE)/COUNTIF(A9:A100,"&lt;="&amp;TODAY()),0)</f>
        <v/>
      </c>
      <c r="E7" s="34">
        <f>IFERROR(COUNTIF(E9:E100,TRUE)/COUNTIF(A9:A100,"&lt;="&amp;TODAY()),0)</f>
        <v/>
      </c>
      <c r="F7" s="34">
        <f>IFERROR(COUNTIF(F9:F100,TRUE)/COUNTIF(A9:A100,"&lt;="&amp;TODAY()),0)</f>
        <v/>
      </c>
      <c r="G7" s="34">
        <f>IFERROR(COUNTIF(G9:G100,TRUE)/COUNTIF(A9:A100,"&lt;="&amp;TODAY()),0)</f>
        <v/>
      </c>
      <c r="H7" s="34">
        <f>IFERROR(COUNTIF(H9:H100,TRUE)/COUNTIF(A9:A100,"&lt;="&amp;TODAY()),0)</f>
        <v/>
      </c>
      <c r="I7" s="34">
        <f>IFERROR(COUNTIF(I9:I100,TRUE)/COUNTIF(A9:A100,"&lt;="&amp;TODAY()),0)</f>
        <v/>
      </c>
      <c r="J7" s="34">
        <f>IFERROR(COUNTIF(J9:J100,TRUE)/COUNTIF(A9:A100,"&lt;="&amp;TODAY()),0)</f>
        <v/>
      </c>
      <c r="K7" s="34">
        <f>A4</f>
        <v/>
      </c>
      <c r="L7" s="1" t="n"/>
      <c r="M7" s="1" t="n"/>
      <c r="N7" s="1" t="n"/>
      <c r="O7" s="1" t="n"/>
      <c r="P7" s="1" t="n"/>
      <c r="Q7" s="1" t="n"/>
      <c r="R7" s="1" t="n"/>
    </row>
    <row r="8" ht="43.5" customHeight="1">
      <c r="A8" s="35" t="inlineStr">
        <is>
          <t>ДАТА</t>
        </is>
      </c>
      <c r="B8" s="35" t="inlineStr">
        <is>
          <t>ДЕНЬ</t>
        </is>
      </c>
      <c r="C8" s="36" t="inlineStr">
        <is>
          <t>🌅 Подъём до 7:00</t>
        </is>
      </c>
      <c r="D8" s="36" t="inlineStr">
        <is>
          <t>🧘 Тренировка / пилатес</t>
        </is>
      </c>
      <c r="E8" s="36" t="inlineStr">
        <is>
          <t>🧴 Уход утром и вечером</t>
        </is>
      </c>
      <c r="F8" s="36" t="inlineStr">
        <is>
          <t>📖 Чтение 20 мин</t>
        </is>
      </c>
      <c r="G8" s="36" t="inlineStr">
        <is>
          <t>💧 2 л воды</t>
        </is>
      </c>
      <c r="H8" s="36" t="inlineStr">
        <is>
          <t>🥗 Чистое питание</t>
        </is>
      </c>
      <c r="I8" s="36" t="inlineStr">
        <is>
          <t>📓 3 благодарности</t>
        </is>
      </c>
      <c r="J8" s="36" t="inlineStr">
        <is>
          <t>🚶 10 000 шагов</t>
        </is>
      </c>
      <c r="K8" s="35" t="inlineStr">
        <is>
          <t>%</t>
        </is>
      </c>
      <c r="L8" s="35" t="inlineStr">
        <is>
          <t>ПРОГРЕСС</t>
        </is>
      </c>
      <c r="M8" s="35" t="inlineStr">
        <is>
          <t>СОН, ч</t>
        </is>
      </c>
      <c r="N8" s="35" t="inlineStr">
        <is>
          <t>ВЕС</t>
        </is>
      </c>
      <c r="O8" s="35" t="inlineStr">
        <is>
          <t>НАСТР. 1–5</t>
        </is>
      </c>
      <c r="P8" s="35" t="inlineStr">
        <is>
          <t>ЗАМЕТКА ДНЯ</t>
        </is>
      </c>
      <c r="Q8" s="21" t="inlineStr"/>
      <c r="R8" s="1" t="n"/>
    </row>
    <row r="9" ht="21" customHeight="1">
      <c r="A9" s="22">
        <f>DATE(2026,10,1)+0</f>
        <v/>
      </c>
      <c r="B9" s="23">
        <f>CHOOSE(WEEKDAY(A9,2),"Пн","Вт","Ср","Чт","Пт","Сб","Вс")</f>
        <v/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5">
        <f>COUNTIF(C9:J9,TRUE)/8</f>
        <v/>
      </c>
      <c r="L9" s="37">
        <f>REPT("▰",ROUND(K9*10))&amp;REPT("▱",10-ROUND(K9*10))</f>
        <v/>
      </c>
      <c r="M9" s="27" t="n"/>
      <c r="N9" s="27" t="n"/>
      <c r="O9" s="24" t="n"/>
      <c r="P9" s="28" t="n"/>
      <c r="Q9" s="1">
        <f>IF(K9&gt;=0.8,1,0)</f>
        <v/>
      </c>
      <c r="R9" s="1" t="n"/>
    </row>
    <row r="10" ht="21" customHeight="1">
      <c r="A10" s="22">
        <f>DATE(2026,10,1)+1</f>
        <v/>
      </c>
      <c r="B10" s="23">
        <f>CHOOSE(WEEKDAY(A10,2),"Пн","Вт","Ср","Чт","Пт","Сб","Вс")</f>
        <v/>
      </c>
      <c r="C10" s="24" t="n"/>
      <c r="D10" s="24" t="n"/>
      <c r="E10" s="24" t="n"/>
      <c r="F10" s="24" t="n"/>
      <c r="G10" s="24" t="n"/>
      <c r="H10" s="24" t="n"/>
      <c r="I10" s="24" t="n"/>
      <c r="J10" s="24" t="n"/>
      <c r="K10" s="25">
        <f>COUNTIF(C10:J10,TRUE)/8</f>
        <v/>
      </c>
      <c r="L10" s="37">
        <f>REPT("▰",ROUND(K10*10))&amp;REPT("▱",10-ROUND(K10*10))</f>
        <v/>
      </c>
      <c r="M10" s="27" t="n"/>
      <c r="N10" s="27" t="n"/>
      <c r="O10" s="24" t="n"/>
      <c r="P10" s="28" t="n"/>
      <c r="Q10" s="1">
        <f>IF(K10&gt;=0.8,Q9+1,0)</f>
        <v/>
      </c>
      <c r="R10" s="1" t="n"/>
    </row>
    <row r="11" ht="21" customHeight="1">
      <c r="A11" s="22">
        <f>DATE(2026,10,1)+2</f>
        <v/>
      </c>
      <c r="B11" s="23">
        <f>CHOOSE(WEEKDAY(A11,2),"Пн","Вт","Ср","Чт","Пт","Сб","Вс")</f>
        <v/>
      </c>
      <c r="C11" s="24" t="n"/>
      <c r="D11" s="24" t="n"/>
      <c r="E11" s="24" t="n"/>
      <c r="F11" s="24" t="n"/>
      <c r="G11" s="24" t="n"/>
      <c r="H11" s="24" t="n"/>
      <c r="I11" s="24" t="n"/>
      <c r="J11" s="24" t="n"/>
      <c r="K11" s="25">
        <f>COUNTIF(C11:J11,TRUE)/8</f>
        <v/>
      </c>
      <c r="L11" s="37">
        <f>REPT("▰",ROUND(K11*10))&amp;REPT("▱",10-ROUND(K11*10))</f>
        <v/>
      </c>
      <c r="M11" s="27" t="n"/>
      <c r="N11" s="27" t="n"/>
      <c r="O11" s="24" t="n"/>
      <c r="P11" s="28" t="n"/>
      <c r="Q11" s="1">
        <f>IF(K11&gt;=0.8,Q10+1,0)</f>
        <v/>
      </c>
      <c r="R11" s="1" t="n"/>
    </row>
    <row r="12" ht="21" customHeight="1">
      <c r="A12" s="22">
        <f>DATE(2026,10,1)+3</f>
        <v/>
      </c>
      <c r="B12" s="23">
        <f>CHOOSE(WEEKDAY(A12,2),"Пн","Вт","Ср","Чт","Пт","Сб","Вс")</f>
        <v/>
      </c>
      <c r="C12" s="24" t="n"/>
      <c r="D12" s="24" t="n"/>
      <c r="E12" s="24" t="n"/>
      <c r="F12" s="24" t="n"/>
      <c r="G12" s="24" t="n"/>
      <c r="H12" s="24" t="n"/>
      <c r="I12" s="24" t="n"/>
      <c r="J12" s="24" t="n"/>
      <c r="K12" s="25">
        <f>COUNTIF(C12:J12,TRUE)/8</f>
        <v/>
      </c>
      <c r="L12" s="37">
        <f>REPT("▰",ROUND(K12*10))&amp;REPT("▱",10-ROUND(K12*10))</f>
        <v/>
      </c>
      <c r="M12" s="27" t="n"/>
      <c r="N12" s="27" t="n"/>
      <c r="O12" s="24" t="n"/>
      <c r="P12" s="28" t="n"/>
      <c r="Q12" s="1">
        <f>IF(K12&gt;=0.8,Q11+1,0)</f>
        <v/>
      </c>
      <c r="R12" s="1" t="n"/>
    </row>
    <row r="13" ht="21" customHeight="1">
      <c r="A13" s="22">
        <f>DATE(2026,10,1)+4</f>
        <v/>
      </c>
      <c r="B13" s="23">
        <f>CHOOSE(WEEKDAY(A13,2),"Пн","Вт","Ср","Чт","Пт","Сб","Вс")</f>
        <v/>
      </c>
      <c r="C13" s="24" t="n"/>
      <c r="D13" s="24" t="n"/>
      <c r="E13" s="24" t="n"/>
      <c r="F13" s="24" t="n"/>
      <c r="G13" s="24" t="n"/>
      <c r="H13" s="24" t="n"/>
      <c r="I13" s="24" t="n"/>
      <c r="J13" s="24" t="n"/>
      <c r="K13" s="25">
        <f>COUNTIF(C13:J13,TRUE)/8</f>
        <v/>
      </c>
      <c r="L13" s="37">
        <f>REPT("▰",ROUND(K13*10))&amp;REPT("▱",10-ROUND(K13*10))</f>
        <v/>
      </c>
      <c r="M13" s="27" t="n"/>
      <c r="N13" s="27" t="n"/>
      <c r="O13" s="24" t="n"/>
      <c r="P13" s="28" t="n"/>
      <c r="Q13" s="1">
        <f>IF(K13&gt;=0.8,Q12+1,0)</f>
        <v/>
      </c>
      <c r="R13" s="1" t="n"/>
    </row>
    <row r="14" ht="21" customHeight="1">
      <c r="A14" s="22">
        <f>DATE(2026,10,1)+5</f>
        <v/>
      </c>
      <c r="B14" s="23">
        <f>CHOOSE(WEEKDAY(A14,2),"Пн","Вт","Ср","Чт","Пт","Сб","Вс")</f>
        <v/>
      </c>
      <c r="C14" s="24" t="n"/>
      <c r="D14" s="24" t="n"/>
      <c r="E14" s="24" t="n"/>
      <c r="F14" s="24" t="n"/>
      <c r="G14" s="24" t="n"/>
      <c r="H14" s="24" t="n"/>
      <c r="I14" s="24" t="n"/>
      <c r="J14" s="24" t="n"/>
      <c r="K14" s="25">
        <f>COUNTIF(C14:J14,TRUE)/8</f>
        <v/>
      </c>
      <c r="L14" s="37">
        <f>REPT("▰",ROUND(K14*10))&amp;REPT("▱",10-ROUND(K14*10))</f>
        <v/>
      </c>
      <c r="M14" s="27" t="n"/>
      <c r="N14" s="27" t="n"/>
      <c r="O14" s="24" t="n"/>
      <c r="P14" s="28" t="n"/>
      <c r="Q14" s="1">
        <f>IF(K14&gt;=0.8,Q13+1,0)</f>
        <v/>
      </c>
      <c r="R14" s="1" t="n"/>
    </row>
    <row r="15" ht="21" customHeight="1">
      <c r="A15" s="22">
        <f>DATE(2026,10,1)+6</f>
        <v/>
      </c>
      <c r="B15" s="23">
        <f>CHOOSE(WEEKDAY(A15,2),"Пн","Вт","Ср","Чт","Пт","Сб","Вс")</f>
        <v/>
      </c>
      <c r="C15" s="24" t="n"/>
      <c r="D15" s="24" t="n"/>
      <c r="E15" s="24" t="n"/>
      <c r="F15" s="24" t="n"/>
      <c r="G15" s="24" t="n"/>
      <c r="H15" s="24" t="n"/>
      <c r="I15" s="24" t="n"/>
      <c r="J15" s="24" t="n"/>
      <c r="K15" s="25">
        <f>COUNTIF(C15:J15,TRUE)/8</f>
        <v/>
      </c>
      <c r="L15" s="37">
        <f>REPT("▰",ROUND(K15*10))&amp;REPT("▱",10-ROUND(K15*10))</f>
        <v/>
      </c>
      <c r="M15" s="27" t="n"/>
      <c r="N15" s="27" t="n"/>
      <c r="O15" s="24" t="n"/>
      <c r="P15" s="28" t="n"/>
      <c r="Q15" s="1">
        <f>IF(K15&gt;=0.8,Q14+1,0)</f>
        <v/>
      </c>
      <c r="R15" s="1" t="n"/>
    </row>
    <row r="16" ht="21" customHeight="1">
      <c r="A16" s="22">
        <f>DATE(2026,10,1)+7</f>
        <v/>
      </c>
      <c r="B16" s="23">
        <f>CHOOSE(WEEKDAY(A16,2),"Пн","Вт","Ср","Чт","Пт","Сб","Вс")</f>
        <v/>
      </c>
      <c r="C16" s="24" t="n"/>
      <c r="D16" s="24" t="n"/>
      <c r="E16" s="24" t="n"/>
      <c r="F16" s="24" t="n"/>
      <c r="G16" s="24" t="n"/>
      <c r="H16" s="24" t="n"/>
      <c r="I16" s="24" t="n"/>
      <c r="J16" s="24" t="n"/>
      <c r="K16" s="25">
        <f>COUNTIF(C16:J16,TRUE)/8</f>
        <v/>
      </c>
      <c r="L16" s="37">
        <f>REPT("▰",ROUND(K16*10))&amp;REPT("▱",10-ROUND(K16*10))</f>
        <v/>
      </c>
      <c r="M16" s="27" t="n"/>
      <c r="N16" s="27" t="n"/>
      <c r="O16" s="24" t="n"/>
      <c r="P16" s="28" t="n"/>
      <c r="Q16" s="1">
        <f>IF(K16&gt;=0.8,Q15+1,0)</f>
        <v/>
      </c>
      <c r="R16" s="1" t="n"/>
    </row>
    <row r="17" ht="21" customHeight="1">
      <c r="A17" s="22">
        <f>DATE(2026,10,1)+8</f>
        <v/>
      </c>
      <c r="B17" s="23">
        <f>CHOOSE(WEEKDAY(A17,2),"Пн","Вт","Ср","Чт","Пт","Сб","Вс")</f>
        <v/>
      </c>
      <c r="C17" s="24" t="n"/>
      <c r="D17" s="24" t="n"/>
      <c r="E17" s="24" t="n"/>
      <c r="F17" s="24" t="n"/>
      <c r="G17" s="24" t="n"/>
      <c r="H17" s="24" t="n"/>
      <c r="I17" s="24" t="n"/>
      <c r="J17" s="24" t="n"/>
      <c r="K17" s="25">
        <f>COUNTIF(C17:J17,TRUE)/8</f>
        <v/>
      </c>
      <c r="L17" s="37">
        <f>REPT("▰",ROUND(K17*10))&amp;REPT("▱",10-ROUND(K17*10))</f>
        <v/>
      </c>
      <c r="M17" s="27" t="n"/>
      <c r="N17" s="27" t="n"/>
      <c r="O17" s="24" t="n"/>
      <c r="P17" s="28" t="n"/>
      <c r="Q17" s="1">
        <f>IF(K17&gt;=0.8,Q16+1,0)</f>
        <v/>
      </c>
      <c r="R17" s="1" t="n"/>
    </row>
    <row r="18" ht="21" customHeight="1">
      <c r="A18" s="22">
        <f>DATE(2026,10,1)+9</f>
        <v/>
      </c>
      <c r="B18" s="23">
        <f>CHOOSE(WEEKDAY(A18,2),"Пн","Вт","Ср","Чт","Пт","Сб","Вс")</f>
        <v/>
      </c>
      <c r="C18" s="24" t="n"/>
      <c r="D18" s="24" t="n"/>
      <c r="E18" s="24" t="n"/>
      <c r="F18" s="24" t="n"/>
      <c r="G18" s="24" t="n"/>
      <c r="H18" s="24" t="n"/>
      <c r="I18" s="24" t="n"/>
      <c r="J18" s="24" t="n"/>
      <c r="K18" s="25">
        <f>COUNTIF(C18:J18,TRUE)/8</f>
        <v/>
      </c>
      <c r="L18" s="37">
        <f>REPT("▰",ROUND(K18*10))&amp;REPT("▱",10-ROUND(K18*10))</f>
        <v/>
      </c>
      <c r="M18" s="27" t="n"/>
      <c r="N18" s="27" t="n"/>
      <c r="O18" s="24" t="n"/>
      <c r="P18" s="28" t="n"/>
      <c r="Q18" s="1">
        <f>IF(K18&gt;=0.8,Q17+1,0)</f>
        <v/>
      </c>
      <c r="R18" s="1" t="n"/>
    </row>
    <row r="19" ht="21" customHeight="1">
      <c r="A19" s="22">
        <f>DATE(2026,10,1)+10</f>
        <v/>
      </c>
      <c r="B19" s="23">
        <f>CHOOSE(WEEKDAY(A19,2),"Пн","Вт","Ср","Чт","Пт","Сб","Вс")</f>
        <v/>
      </c>
      <c r="C19" s="24" t="n"/>
      <c r="D19" s="24" t="n"/>
      <c r="E19" s="24" t="n"/>
      <c r="F19" s="24" t="n"/>
      <c r="G19" s="24" t="n"/>
      <c r="H19" s="24" t="n"/>
      <c r="I19" s="24" t="n"/>
      <c r="J19" s="24" t="n"/>
      <c r="K19" s="25">
        <f>COUNTIF(C19:J19,TRUE)/8</f>
        <v/>
      </c>
      <c r="L19" s="37">
        <f>REPT("▰",ROUND(K19*10))&amp;REPT("▱",10-ROUND(K19*10))</f>
        <v/>
      </c>
      <c r="M19" s="27" t="n"/>
      <c r="N19" s="27" t="n"/>
      <c r="O19" s="24" t="n"/>
      <c r="P19" s="28" t="n"/>
      <c r="Q19" s="1">
        <f>IF(K19&gt;=0.8,Q18+1,0)</f>
        <v/>
      </c>
      <c r="R19" s="1" t="n"/>
    </row>
    <row r="20" ht="21" customHeight="1">
      <c r="A20" s="22">
        <f>DATE(2026,10,1)+11</f>
        <v/>
      </c>
      <c r="B20" s="23">
        <f>CHOOSE(WEEKDAY(A20,2),"Пн","Вт","Ср","Чт","Пт","Сб","Вс")</f>
        <v/>
      </c>
      <c r="C20" s="24" t="n"/>
      <c r="D20" s="24" t="n"/>
      <c r="E20" s="24" t="n"/>
      <c r="F20" s="24" t="n"/>
      <c r="G20" s="24" t="n"/>
      <c r="H20" s="24" t="n"/>
      <c r="I20" s="24" t="n"/>
      <c r="J20" s="24" t="n"/>
      <c r="K20" s="25">
        <f>COUNTIF(C20:J20,TRUE)/8</f>
        <v/>
      </c>
      <c r="L20" s="37">
        <f>REPT("▰",ROUND(K20*10))&amp;REPT("▱",10-ROUND(K20*10))</f>
        <v/>
      </c>
      <c r="M20" s="27" t="n"/>
      <c r="N20" s="27" t="n"/>
      <c r="O20" s="24" t="n"/>
      <c r="P20" s="28" t="n"/>
      <c r="Q20" s="1">
        <f>IF(K20&gt;=0.8,Q19+1,0)</f>
        <v/>
      </c>
      <c r="R20" s="1" t="n"/>
    </row>
    <row r="21" ht="21" customHeight="1">
      <c r="A21" s="22">
        <f>DATE(2026,10,1)+12</f>
        <v/>
      </c>
      <c r="B21" s="23">
        <f>CHOOSE(WEEKDAY(A21,2),"Пн","Вт","Ср","Чт","Пт","Сб","Вс")</f>
        <v/>
      </c>
      <c r="C21" s="24" t="n"/>
      <c r="D21" s="24" t="n"/>
      <c r="E21" s="24" t="n"/>
      <c r="F21" s="24" t="n"/>
      <c r="G21" s="24" t="n"/>
      <c r="H21" s="24" t="n"/>
      <c r="I21" s="24" t="n"/>
      <c r="J21" s="24" t="n"/>
      <c r="K21" s="25">
        <f>COUNTIF(C21:J21,TRUE)/8</f>
        <v/>
      </c>
      <c r="L21" s="37">
        <f>REPT("▰",ROUND(K21*10))&amp;REPT("▱",10-ROUND(K21*10))</f>
        <v/>
      </c>
      <c r="M21" s="27" t="n"/>
      <c r="N21" s="27" t="n"/>
      <c r="O21" s="24" t="n"/>
      <c r="P21" s="28" t="n"/>
      <c r="Q21" s="1">
        <f>IF(K21&gt;=0.8,Q20+1,0)</f>
        <v/>
      </c>
      <c r="R21" s="1" t="n"/>
    </row>
    <row r="22" ht="21" customHeight="1">
      <c r="A22" s="22">
        <f>DATE(2026,10,1)+13</f>
        <v/>
      </c>
      <c r="B22" s="23">
        <f>CHOOSE(WEEKDAY(A22,2),"Пн","Вт","Ср","Чт","Пт","Сб","Вс")</f>
        <v/>
      </c>
      <c r="C22" s="24" t="n"/>
      <c r="D22" s="24" t="n"/>
      <c r="E22" s="24" t="n"/>
      <c r="F22" s="24" t="n"/>
      <c r="G22" s="24" t="n"/>
      <c r="H22" s="24" t="n"/>
      <c r="I22" s="24" t="n"/>
      <c r="J22" s="24" t="n"/>
      <c r="K22" s="25">
        <f>COUNTIF(C22:J22,TRUE)/8</f>
        <v/>
      </c>
      <c r="L22" s="37">
        <f>REPT("▰",ROUND(K22*10))&amp;REPT("▱",10-ROUND(K22*10))</f>
        <v/>
      </c>
      <c r="M22" s="27" t="n"/>
      <c r="N22" s="27" t="n"/>
      <c r="O22" s="24" t="n"/>
      <c r="P22" s="28" t="n"/>
      <c r="Q22" s="1">
        <f>IF(K22&gt;=0.8,Q21+1,0)</f>
        <v/>
      </c>
      <c r="R22" s="1" t="n"/>
    </row>
    <row r="23" ht="21" customHeight="1">
      <c r="A23" s="22">
        <f>DATE(2026,10,1)+14</f>
        <v/>
      </c>
      <c r="B23" s="23">
        <f>CHOOSE(WEEKDAY(A23,2),"Пн","Вт","Ср","Чт","Пт","Сб","Вс")</f>
        <v/>
      </c>
      <c r="C23" s="24" t="n"/>
      <c r="D23" s="24" t="n"/>
      <c r="E23" s="24" t="n"/>
      <c r="F23" s="24" t="n"/>
      <c r="G23" s="24" t="n"/>
      <c r="H23" s="24" t="n"/>
      <c r="I23" s="24" t="n"/>
      <c r="J23" s="24" t="n"/>
      <c r="K23" s="25">
        <f>COUNTIF(C23:J23,TRUE)/8</f>
        <v/>
      </c>
      <c r="L23" s="37">
        <f>REPT("▰",ROUND(K23*10))&amp;REPT("▱",10-ROUND(K23*10))</f>
        <v/>
      </c>
      <c r="M23" s="27" t="n"/>
      <c r="N23" s="27" t="n"/>
      <c r="O23" s="24" t="n"/>
      <c r="P23" s="28" t="n"/>
      <c r="Q23" s="1">
        <f>IF(K23&gt;=0.8,Q22+1,0)</f>
        <v/>
      </c>
      <c r="R23" s="1" t="n"/>
    </row>
    <row r="24" ht="21" customHeight="1">
      <c r="A24" s="22">
        <f>DATE(2026,10,1)+15</f>
        <v/>
      </c>
      <c r="B24" s="23">
        <f>CHOOSE(WEEKDAY(A24,2),"Пн","Вт","Ср","Чт","Пт","Сб","Вс")</f>
        <v/>
      </c>
      <c r="C24" s="24" t="n"/>
      <c r="D24" s="24" t="n"/>
      <c r="E24" s="24" t="n"/>
      <c r="F24" s="24" t="n"/>
      <c r="G24" s="24" t="n"/>
      <c r="H24" s="24" t="n"/>
      <c r="I24" s="24" t="n"/>
      <c r="J24" s="24" t="n"/>
      <c r="K24" s="25">
        <f>COUNTIF(C24:J24,TRUE)/8</f>
        <v/>
      </c>
      <c r="L24" s="37">
        <f>REPT("▰",ROUND(K24*10))&amp;REPT("▱",10-ROUND(K24*10))</f>
        <v/>
      </c>
      <c r="M24" s="27" t="n"/>
      <c r="N24" s="27" t="n"/>
      <c r="O24" s="24" t="n"/>
      <c r="P24" s="28" t="n"/>
      <c r="Q24" s="1">
        <f>IF(K24&gt;=0.8,Q23+1,0)</f>
        <v/>
      </c>
      <c r="R24" s="1" t="n"/>
    </row>
    <row r="25" ht="21" customHeight="1">
      <c r="A25" s="22">
        <f>DATE(2026,10,1)+16</f>
        <v/>
      </c>
      <c r="B25" s="23">
        <f>CHOOSE(WEEKDAY(A25,2),"Пн","Вт","Ср","Чт","Пт","Сб","Вс")</f>
        <v/>
      </c>
      <c r="C25" s="24" t="n"/>
      <c r="D25" s="24" t="n"/>
      <c r="E25" s="24" t="n"/>
      <c r="F25" s="24" t="n"/>
      <c r="G25" s="24" t="n"/>
      <c r="H25" s="24" t="n"/>
      <c r="I25" s="24" t="n"/>
      <c r="J25" s="24" t="n"/>
      <c r="K25" s="25">
        <f>COUNTIF(C25:J25,TRUE)/8</f>
        <v/>
      </c>
      <c r="L25" s="37">
        <f>REPT("▰",ROUND(K25*10))&amp;REPT("▱",10-ROUND(K25*10))</f>
        <v/>
      </c>
      <c r="M25" s="27" t="n"/>
      <c r="N25" s="27" t="n"/>
      <c r="O25" s="24" t="n"/>
      <c r="P25" s="28" t="n"/>
      <c r="Q25" s="1">
        <f>IF(K25&gt;=0.8,Q24+1,0)</f>
        <v/>
      </c>
      <c r="R25" s="1" t="n"/>
    </row>
    <row r="26" ht="21" customHeight="1">
      <c r="A26" s="22">
        <f>DATE(2026,10,1)+17</f>
        <v/>
      </c>
      <c r="B26" s="23">
        <f>CHOOSE(WEEKDAY(A26,2),"Пн","Вт","Ср","Чт","Пт","Сб","Вс")</f>
        <v/>
      </c>
      <c r="C26" s="24" t="n"/>
      <c r="D26" s="24" t="n"/>
      <c r="E26" s="24" t="n"/>
      <c r="F26" s="24" t="n"/>
      <c r="G26" s="24" t="n"/>
      <c r="H26" s="24" t="n"/>
      <c r="I26" s="24" t="n"/>
      <c r="J26" s="24" t="n"/>
      <c r="K26" s="25">
        <f>COUNTIF(C26:J26,TRUE)/8</f>
        <v/>
      </c>
      <c r="L26" s="37">
        <f>REPT("▰",ROUND(K26*10))&amp;REPT("▱",10-ROUND(K26*10))</f>
        <v/>
      </c>
      <c r="M26" s="27" t="n"/>
      <c r="N26" s="27" t="n"/>
      <c r="O26" s="24" t="n"/>
      <c r="P26" s="28" t="n"/>
      <c r="Q26" s="1">
        <f>IF(K26&gt;=0.8,Q25+1,0)</f>
        <v/>
      </c>
      <c r="R26" s="1" t="n"/>
    </row>
    <row r="27" ht="21" customHeight="1">
      <c r="A27" s="22">
        <f>DATE(2026,10,1)+18</f>
        <v/>
      </c>
      <c r="B27" s="23">
        <f>CHOOSE(WEEKDAY(A27,2),"Пн","Вт","Ср","Чт","Пт","Сб","Вс")</f>
        <v/>
      </c>
      <c r="C27" s="24" t="n"/>
      <c r="D27" s="24" t="n"/>
      <c r="E27" s="24" t="n"/>
      <c r="F27" s="24" t="n"/>
      <c r="G27" s="24" t="n"/>
      <c r="H27" s="24" t="n"/>
      <c r="I27" s="24" t="n"/>
      <c r="J27" s="24" t="n"/>
      <c r="K27" s="25">
        <f>COUNTIF(C27:J27,TRUE)/8</f>
        <v/>
      </c>
      <c r="L27" s="37">
        <f>REPT("▰",ROUND(K27*10))&amp;REPT("▱",10-ROUND(K27*10))</f>
        <v/>
      </c>
      <c r="M27" s="27" t="n"/>
      <c r="N27" s="27" t="n"/>
      <c r="O27" s="24" t="n"/>
      <c r="P27" s="28" t="n"/>
      <c r="Q27" s="1">
        <f>IF(K27&gt;=0.8,Q26+1,0)</f>
        <v/>
      </c>
      <c r="R27" s="1" t="n"/>
    </row>
    <row r="28" ht="21" customHeight="1">
      <c r="A28" s="22">
        <f>DATE(2026,10,1)+19</f>
        <v/>
      </c>
      <c r="B28" s="23">
        <f>CHOOSE(WEEKDAY(A28,2),"Пн","Вт","Ср","Чт","Пт","Сб","Вс")</f>
        <v/>
      </c>
      <c r="C28" s="24" t="n"/>
      <c r="D28" s="24" t="n"/>
      <c r="E28" s="24" t="n"/>
      <c r="F28" s="24" t="n"/>
      <c r="G28" s="24" t="n"/>
      <c r="H28" s="24" t="n"/>
      <c r="I28" s="24" t="n"/>
      <c r="J28" s="24" t="n"/>
      <c r="K28" s="25">
        <f>COUNTIF(C28:J28,TRUE)/8</f>
        <v/>
      </c>
      <c r="L28" s="37">
        <f>REPT("▰",ROUND(K28*10))&amp;REPT("▱",10-ROUND(K28*10))</f>
        <v/>
      </c>
      <c r="M28" s="27" t="n"/>
      <c r="N28" s="27" t="n"/>
      <c r="O28" s="24" t="n"/>
      <c r="P28" s="28" t="n"/>
      <c r="Q28" s="1">
        <f>IF(K28&gt;=0.8,Q27+1,0)</f>
        <v/>
      </c>
      <c r="R28" s="1" t="n"/>
    </row>
    <row r="29" ht="21" customHeight="1">
      <c r="A29" s="22">
        <f>DATE(2026,10,1)+20</f>
        <v/>
      </c>
      <c r="B29" s="23">
        <f>CHOOSE(WEEKDAY(A29,2),"Пн","Вт","Ср","Чт","Пт","Сб","Вс")</f>
        <v/>
      </c>
      <c r="C29" s="24" t="n"/>
      <c r="D29" s="24" t="n"/>
      <c r="E29" s="24" t="n"/>
      <c r="F29" s="24" t="n"/>
      <c r="G29" s="24" t="n"/>
      <c r="H29" s="24" t="n"/>
      <c r="I29" s="24" t="n"/>
      <c r="J29" s="24" t="n"/>
      <c r="K29" s="25">
        <f>COUNTIF(C29:J29,TRUE)/8</f>
        <v/>
      </c>
      <c r="L29" s="37">
        <f>REPT("▰",ROUND(K29*10))&amp;REPT("▱",10-ROUND(K29*10))</f>
        <v/>
      </c>
      <c r="M29" s="27" t="n"/>
      <c r="N29" s="27" t="n"/>
      <c r="O29" s="24" t="n"/>
      <c r="P29" s="28" t="n"/>
      <c r="Q29" s="1">
        <f>IF(K29&gt;=0.8,Q28+1,0)</f>
        <v/>
      </c>
      <c r="R29" s="1" t="n"/>
    </row>
    <row r="30" ht="21" customHeight="1">
      <c r="A30" s="22">
        <f>DATE(2026,10,1)+21</f>
        <v/>
      </c>
      <c r="B30" s="23">
        <f>CHOOSE(WEEKDAY(A30,2),"Пн","Вт","Ср","Чт","Пт","Сб","Вс")</f>
        <v/>
      </c>
      <c r="C30" s="24" t="n"/>
      <c r="D30" s="24" t="n"/>
      <c r="E30" s="24" t="n"/>
      <c r="F30" s="24" t="n"/>
      <c r="G30" s="24" t="n"/>
      <c r="H30" s="24" t="n"/>
      <c r="I30" s="24" t="n"/>
      <c r="J30" s="24" t="n"/>
      <c r="K30" s="25">
        <f>COUNTIF(C30:J30,TRUE)/8</f>
        <v/>
      </c>
      <c r="L30" s="37">
        <f>REPT("▰",ROUND(K30*10))&amp;REPT("▱",10-ROUND(K30*10))</f>
        <v/>
      </c>
      <c r="M30" s="27" t="n"/>
      <c r="N30" s="27" t="n"/>
      <c r="O30" s="24" t="n"/>
      <c r="P30" s="28" t="n"/>
      <c r="Q30" s="1">
        <f>IF(K30&gt;=0.8,Q29+1,0)</f>
        <v/>
      </c>
      <c r="R30" s="1" t="n"/>
    </row>
    <row r="31" ht="21" customHeight="1">
      <c r="A31" s="22">
        <f>DATE(2026,10,1)+22</f>
        <v/>
      </c>
      <c r="B31" s="23">
        <f>CHOOSE(WEEKDAY(A31,2),"Пн","Вт","Ср","Чт","Пт","Сб","Вс")</f>
        <v/>
      </c>
      <c r="C31" s="24" t="n"/>
      <c r="D31" s="24" t="n"/>
      <c r="E31" s="24" t="n"/>
      <c r="F31" s="24" t="n"/>
      <c r="G31" s="24" t="n"/>
      <c r="H31" s="24" t="n"/>
      <c r="I31" s="24" t="n"/>
      <c r="J31" s="24" t="n"/>
      <c r="K31" s="25">
        <f>COUNTIF(C31:J31,TRUE)/8</f>
        <v/>
      </c>
      <c r="L31" s="37">
        <f>REPT("▰",ROUND(K31*10))&amp;REPT("▱",10-ROUND(K31*10))</f>
        <v/>
      </c>
      <c r="M31" s="27" t="n"/>
      <c r="N31" s="27" t="n"/>
      <c r="O31" s="24" t="n"/>
      <c r="P31" s="28" t="n"/>
      <c r="Q31" s="1">
        <f>IF(K31&gt;=0.8,Q30+1,0)</f>
        <v/>
      </c>
      <c r="R31" s="1" t="n"/>
    </row>
    <row r="32" ht="21" customHeight="1">
      <c r="A32" s="22">
        <f>DATE(2026,10,1)+23</f>
        <v/>
      </c>
      <c r="B32" s="23">
        <f>CHOOSE(WEEKDAY(A32,2),"Пн","Вт","Ср","Чт","Пт","Сб","Вс")</f>
        <v/>
      </c>
      <c r="C32" s="24" t="n"/>
      <c r="D32" s="24" t="n"/>
      <c r="E32" s="24" t="n"/>
      <c r="F32" s="24" t="n"/>
      <c r="G32" s="24" t="n"/>
      <c r="H32" s="24" t="n"/>
      <c r="I32" s="24" t="n"/>
      <c r="J32" s="24" t="n"/>
      <c r="K32" s="25">
        <f>COUNTIF(C32:J32,TRUE)/8</f>
        <v/>
      </c>
      <c r="L32" s="37">
        <f>REPT("▰",ROUND(K32*10))&amp;REPT("▱",10-ROUND(K32*10))</f>
        <v/>
      </c>
      <c r="M32" s="27" t="n"/>
      <c r="N32" s="27" t="n"/>
      <c r="O32" s="24" t="n"/>
      <c r="P32" s="28" t="n"/>
      <c r="Q32" s="1">
        <f>IF(K32&gt;=0.8,Q31+1,0)</f>
        <v/>
      </c>
      <c r="R32" s="1" t="n"/>
    </row>
    <row r="33" ht="21" customHeight="1">
      <c r="A33" s="22">
        <f>DATE(2026,10,1)+24</f>
        <v/>
      </c>
      <c r="B33" s="23">
        <f>CHOOSE(WEEKDAY(A33,2),"Пн","Вт","Ср","Чт","Пт","Сб","Вс")</f>
        <v/>
      </c>
      <c r="C33" s="24" t="n"/>
      <c r="D33" s="24" t="n"/>
      <c r="E33" s="24" t="n"/>
      <c r="F33" s="24" t="n"/>
      <c r="G33" s="24" t="n"/>
      <c r="H33" s="24" t="n"/>
      <c r="I33" s="24" t="n"/>
      <c r="J33" s="24" t="n"/>
      <c r="K33" s="25">
        <f>COUNTIF(C33:J33,TRUE)/8</f>
        <v/>
      </c>
      <c r="L33" s="37">
        <f>REPT("▰",ROUND(K33*10))&amp;REPT("▱",10-ROUND(K33*10))</f>
        <v/>
      </c>
      <c r="M33" s="27" t="n"/>
      <c r="N33" s="27" t="n"/>
      <c r="O33" s="24" t="n"/>
      <c r="P33" s="28" t="n"/>
      <c r="Q33" s="1">
        <f>IF(K33&gt;=0.8,Q32+1,0)</f>
        <v/>
      </c>
      <c r="R33" s="1" t="n"/>
    </row>
    <row r="34" ht="21" customHeight="1">
      <c r="A34" s="22">
        <f>DATE(2026,10,1)+25</f>
        <v/>
      </c>
      <c r="B34" s="23">
        <f>CHOOSE(WEEKDAY(A34,2),"Пн","Вт","Ср","Чт","Пт","Сб","Вс")</f>
        <v/>
      </c>
      <c r="C34" s="24" t="n"/>
      <c r="D34" s="24" t="n"/>
      <c r="E34" s="24" t="n"/>
      <c r="F34" s="24" t="n"/>
      <c r="G34" s="24" t="n"/>
      <c r="H34" s="24" t="n"/>
      <c r="I34" s="24" t="n"/>
      <c r="J34" s="24" t="n"/>
      <c r="K34" s="25">
        <f>COUNTIF(C34:J34,TRUE)/8</f>
        <v/>
      </c>
      <c r="L34" s="37">
        <f>REPT("▰",ROUND(K34*10))&amp;REPT("▱",10-ROUND(K34*10))</f>
        <v/>
      </c>
      <c r="M34" s="27" t="n"/>
      <c r="N34" s="27" t="n"/>
      <c r="O34" s="24" t="n"/>
      <c r="P34" s="28" t="n"/>
      <c r="Q34" s="1">
        <f>IF(K34&gt;=0.8,Q33+1,0)</f>
        <v/>
      </c>
      <c r="R34" s="1" t="n"/>
    </row>
    <row r="35" ht="21" customHeight="1">
      <c r="A35" s="22">
        <f>DATE(2026,10,1)+26</f>
        <v/>
      </c>
      <c r="B35" s="23">
        <f>CHOOSE(WEEKDAY(A35,2),"Пн","Вт","Ср","Чт","Пт","Сб","Вс")</f>
        <v/>
      </c>
      <c r="C35" s="24" t="n"/>
      <c r="D35" s="24" t="n"/>
      <c r="E35" s="24" t="n"/>
      <c r="F35" s="24" t="n"/>
      <c r="G35" s="24" t="n"/>
      <c r="H35" s="24" t="n"/>
      <c r="I35" s="24" t="n"/>
      <c r="J35" s="24" t="n"/>
      <c r="K35" s="25">
        <f>COUNTIF(C35:J35,TRUE)/8</f>
        <v/>
      </c>
      <c r="L35" s="37">
        <f>REPT("▰",ROUND(K35*10))&amp;REPT("▱",10-ROUND(K35*10))</f>
        <v/>
      </c>
      <c r="M35" s="27" t="n"/>
      <c r="N35" s="27" t="n"/>
      <c r="O35" s="24" t="n"/>
      <c r="P35" s="28" t="n"/>
      <c r="Q35" s="1">
        <f>IF(K35&gt;=0.8,Q34+1,0)</f>
        <v/>
      </c>
      <c r="R35" s="1" t="n"/>
    </row>
    <row r="36" ht="21" customHeight="1">
      <c r="A36" s="22">
        <f>DATE(2026,10,1)+27</f>
        <v/>
      </c>
      <c r="B36" s="23">
        <f>CHOOSE(WEEKDAY(A36,2),"Пн","Вт","Ср","Чт","Пт","Сб","Вс")</f>
        <v/>
      </c>
      <c r="C36" s="24" t="n"/>
      <c r="D36" s="24" t="n"/>
      <c r="E36" s="24" t="n"/>
      <c r="F36" s="24" t="n"/>
      <c r="G36" s="24" t="n"/>
      <c r="H36" s="24" t="n"/>
      <c r="I36" s="24" t="n"/>
      <c r="J36" s="24" t="n"/>
      <c r="K36" s="25">
        <f>COUNTIF(C36:J36,TRUE)/8</f>
        <v/>
      </c>
      <c r="L36" s="37">
        <f>REPT("▰",ROUND(K36*10))&amp;REPT("▱",10-ROUND(K36*10))</f>
        <v/>
      </c>
      <c r="M36" s="27" t="n"/>
      <c r="N36" s="27" t="n"/>
      <c r="O36" s="24" t="n"/>
      <c r="P36" s="28" t="n"/>
      <c r="Q36" s="1">
        <f>IF(K36&gt;=0.8,Q35+1,0)</f>
        <v/>
      </c>
      <c r="R36" s="1" t="n"/>
    </row>
    <row r="37" ht="21" customHeight="1">
      <c r="A37" s="22">
        <f>DATE(2026,10,1)+28</f>
        <v/>
      </c>
      <c r="B37" s="23">
        <f>CHOOSE(WEEKDAY(A37,2),"Пн","Вт","Ср","Чт","Пт","Сб","Вс")</f>
        <v/>
      </c>
      <c r="C37" s="24" t="n"/>
      <c r="D37" s="24" t="n"/>
      <c r="E37" s="24" t="n"/>
      <c r="F37" s="24" t="n"/>
      <c r="G37" s="24" t="n"/>
      <c r="H37" s="24" t="n"/>
      <c r="I37" s="24" t="n"/>
      <c r="J37" s="24" t="n"/>
      <c r="K37" s="25">
        <f>COUNTIF(C37:J37,TRUE)/8</f>
        <v/>
      </c>
      <c r="L37" s="37">
        <f>REPT("▰",ROUND(K37*10))&amp;REPT("▱",10-ROUND(K37*10))</f>
        <v/>
      </c>
      <c r="M37" s="27" t="n"/>
      <c r="N37" s="27" t="n"/>
      <c r="O37" s="24" t="n"/>
      <c r="P37" s="28" t="n"/>
      <c r="Q37" s="1">
        <f>IF(K37&gt;=0.8,Q36+1,0)</f>
        <v/>
      </c>
      <c r="R37" s="1" t="n"/>
    </row>
    <row r="38" ht="21" customHeight="1">
      <c r="A38" s="22">
        <f>DATE(2026,10,1)+29</f>
        <v/>
      </c>
      <c r="B38" s="23">
        <f>CHOOSE(WEEKDAY(A38,2),"Пн","Вт","Ср","Чт","Пт","Сб","Вс")</f>
        <v/>
      </c>
      <c r="C38" s="24" t="n"/>
      <c r="D38" s="24" t="n"/>
      <c r="E38" s="24" t="n"/>
      <c r="F38" s="24" t="n"/>
      <c r="G38" s="24" t="n"/>
      <c r="H38" s="24" t="n"/>
      <c r="I38" s="24" t="n"/>
      <c r="J38" s="24" t="n"/>
      <c r="K38" s="25">
        <f>COUNTIF(C38:J38,TRUE)/8</f>
        <v/>
      </c>
      <c r="L38" s="37">
        <f>REPT("▰",ROUND(K38*10))&amp;REPT("▱",10-ROUND(K38*10))</f>
        <v/>
      </c>
      <c r="M38" s="27" t="n"/>
      <c r="N38" s="27" t="n"/>
      <c r="O38" s="24" t="n"/>
      <c r="P38" s="28" t="n"/>
      <c r="Q38" s="1">
        <f>IF(K38&gt;=0.8,Q37+1,0)</f>
        <v/>
      </c>
      <c r="R38" s="1" t="n"/>
    </row>
    <row r="39" ht="21" customHeight="1">
      <c r="A39" s="22">
        <f>DATE(2026,10,1)+30</f>
        <v/>
      </c>
      <c r="B39" s="23">
        <f>CHOOSE(WEEKDAY(A39,2),"Пн","Вт","Ср","Чт","Пт","Сб","Вс")</f>
        <v/>
      </c>
      <c r="C39" s="24" t="n"/>
      <c r="D39" s="24" t="n"/>
      <c r="E39" s="24" t="n"/>
      <c r="F39" s="24" t="n"/>
      <c r="G39" s="24" t="n"/>
      <c r="H39" s="24" t="n"/>
      <c r="I39" s="24" t="n"/>
      <c r="J39" s="24" t="n"/>
      <c r="K39" s="25">
        <f>COUNTIF(C39:J39,TRUE)/8</f>
        <v/>
      </c>
      <c r="L39" s="37">
        <f>REPT("▰",ROUND(K39*10))&amp;REPT("▱",10-ROUND(K39*10))</f>
        <v/>
      </c>
      <c r="M39" s="27" t="n"/>
      <c r="N39" s="27" t="n"/>
      <c r="O39" s="24" t="n"/>
      <c r="P39" s="28" t="n"/>
      <c r="Q39" s="1">
        <f>IF(K39&gt;=0.8,Q38+1,0)</f>
        <v/>
      </c>
      <c r="R39" s="1" t="n"/>
    </row>
    <row r="40" ht="21" customHeight="1">
      <c r="A40" s="22">
        <f>DATE(2026,10,1)+31</f>
        <v/>
      </c>
      <c r="B40" s="23">
        <f>CHOOSE(WEEKDAY(A40,2),"Пн","Вт","Ср","Чт","Пт","Сб","Вс")</f>
        <v/>
      </c>
      <c r="C40" s="24" t="n"/>
      <c r="D40" s="24" t="n"/>
      <c r="E40" s="24" t="n"/>
      <c r="F40" s="24" t="n"/>
      <c r="G40" s="24" t="n"/>
      <c r="H40" s="24" t="n"/>
      <c r="I40" s="24" t="n"/>
      <c r="J40" s="24" t="n"/>
      <c r="K40" s="25">
        <f>COUNTIF(C40:J40,TRUE)/8</f>
        <v/>
      </c>
      <c r="L40" s="37">
        <f>REPT("▰",ROUND(K40*10))&amp;REPT("▱",10-ROUND(K40*10))</f>
        <v/>
      </c>
      <c r="M40" s="27" t="n"/>
      <c r="N40" s="27" t="n"/>
      <c r="O40" s="24" t="n"/>
      <c r="P40" s="28" t="n"/>
      <c r="Q40" s="1">
        <f>IF(K40&gt;=0.8,Q39+1,0)</f>
        <v/>
      </c>
      <c r="R40" s="1" t="n"/>
    </row>
    <row r="41" ht="21" customHeight="1">
      <c r="A41" s="22">
        <f>DATE(2026,10,1)+32</f>
        <v/>
      </c>
      <c r="B41" s="23">
        <f>CHOOSE(WEEKDAY(A41,2),"Пн","Вт","Ср","Чт","Пт","Сб","Вс")</f>
        <v/>
      </c>
      <c r="C41" s="24" t="n"/>
      <c r="D41" s="24" t="n"/>
      <c r="E41" s="24" t="n"/>
      <c r="F41" s="24" t="n"/>
      <c r="G41" s="24" t="n"/>
      <c r="H41" s="24" t="n"/>
      <c r="I41" s="24" t="n"/>
      <c r="J41" s="24" t="n"/>
      <c r="K41" s="25">
        <f>COUNTIF(C41:J41,TRUE)/8</f>
        <v/>
      </c>
      <c r="L41" s="37">
        <f>REPT("▰",ROUND(K41*10))&amp;REPT("▱",10-ROUND(K41*10))</f>
        <v/>
      </c>
      <c r="M41" s="27" t="n"/>
      <c r="N41" s="27" t="n"/>
      <c r="O41" s="24" t="n"/>
      <c r="P41" s="28" t="n"/>
      <c r="Q41" s="1">
        <f>IF(K41&gt;=0.8,Q40+1,0)</f>
        <v/>
      </c>
      <c r="R41" s="1" t="n"/>
    </row>
    <row r="42" ht="21" customHeight="1">
      <c r="A42" s="22">
        <f>DATE(2026,10,1)+33</f>
        <v/>
      </c>
      <c r="B42" s="23">
        <f>CHOOSE(WEEKDAY(A42,2),"Пн","Вт","Ср","Чт","Пт","Сб","Вс")</f>
        <v/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5">
        <f>COUNTIF(C42:J42,TRUE)/8</f>
        <v/>
      </c>
      <c r="L42" s="37">
        <f>REPT("▰",ROUND(K42*10))&amp;REPT("▱",10-ROUND(K42*10))</f>
        <v/>
      </c>
      <c r="M42" s="27" t="n"/>
      <c r="N42" s="27" t="n"/>
      <c r="O42" s="24" t="n"/>
      <c r="P42" s="28" t="n"/>
      <c r="Q42" s="1">
        <f>IF(K42&gt;=0.8,Q41+1,0)</f>
        <v/>
      </c>
      <c r="R42" s="1" t="n"/>
    </row>
    <row r="43" ht="21" customHeight="1">
      <c r="A43" s="22">
        <f>DATE(2026,10,1)+34</f>
        <v/>
      </c>
      <c r="B43" s="23">
        <f>CHOOSE(WEEKDAY(A43,2),"Пн","Вт","Ср","Чт","Пт","Сб","Вс")</f>
        <v/>
      </c>
      <c r="C43" s="24" t="n"/>
      <c r="D43" s="24" t="n"/>
      <c r="E43" s="24" t="n"/>
      <c r="F43" s="24" t="n"/>
      <c r="G43" s="24" t="n"/>
      <c r="H43" s="24" t="n"/>
      <c r="I43" s="24" t="n"/>
      <c r="J43" s="24" t="n"/>
      <c r="K43" s="25">
        <f>COUNTIF(C43:J43,TRUE)/8</f>
        <v/>
      </c>
      <c r="L43" s="37">
        <f>REPT("▰",ROUND(K43*10))&amp;REPT("▱",10-ROUND(K43*10))</f>
        <v/>
      </c>
      <c r="M43" s="27" t="n"/>
      <c r="N43" s="27" t="n"/>
      <c r="O43" s="24" t="n"/>
      <c r="P43" s="28" t="n"/>
      <c r="Q43" s="1">
        <f>IF(K43&gt;=0.8,Q42+1,0)</f>
        <v/>
      </c>
      <c r="R43" s="1" t="n"/>
    </row>
    <row r="44" ht="21" customHeight="1">
      <c r="A44" s="22">
        <f>DATE(2026,10,1)+35</f>
        <v/>
      </c>
      <c r="B44" s="23">
        <f>CHOOSE(WEEKDAY(A44,2),"Пн","Вт","Ср","Чт","Пт","Сб","Вс")</f>
        <v/>
      </c>
      <c r="C44" s="24" t="n"/>
      <c r="D44" s="24" t="n"/>
      <c r="E44" s="24" t="n"/>
      <c r="F44" s="24" t="n"/>
      <c r="G44" s="24" t="n"/>
      <c r="H44" s="24" t="n"/>
      <c r="I44" s="24" t="n"/>
      <c r="J44" s="24" t="n"/>
      <c r="K44" s="25">
        <f>COUNTIF(C44:J44,TRUE)/8</f>
        <v/>
      </c>
      <c r="L44" s="37">
        <f>REPT("▰",ROUND(K44*10))&amp;REPT("▱",10-ROUND(K44*10))</f>
        <v/>
      </c>
      <c r="M44" s="27" t="n"/>
      <c r="N44" s="27" t="n"/>
      <c r="O44" s="24" t="n"/>
      <c r="P44" s="28" t="n"/>
      <c r="Q44" s="1">
        <f>IF(K44&gt;=0.8,Q43+1,0)</f>
        <v/>
      </c>
      <c r="R44" s="1" t="n"/>
    </row>
    <row r="45" ht="21" customHeight="1">
      <c r="A45" s="22">
        <f>DATE(2026,10,1)+36</f>
        <v/>
      </c>
      <c r="B45" s="23">
        <f>CHOOSE(WEEKDAY(A45,2),"Пн","Вт","Ср","Чт","Пт","Сб","Вс")</f>
        <v/>
      </c>
      <c r="C45" s="24" t="n"/>
      <c r="D45" s="24" t="n"/>
      <c r="E45" s="24" t="n"/>
      <c r="F45" s="24" t="n"/>
      <c r="G45" s="24" t="n"/>
      <c r="H45" s="24" t="n"/>
      <c r="I45" s="24" t="n"/>
      <c r="J45" s="24" t="n"/>
      <c r="K45" s="25">
        <f>COUNTIF(C45:J45,TRUE)/8</f>
        <v/>
      </c>
      <c r="L45" s="37">
        <f>REPT("▰",ROUND(K45*10))&amp;REPT("▱",10-ROUND(K45*10))</f>
        <v/>
      </c>
      <c r="M45" s="27" t="n"/>
      <c r="N45" s="27" t="n"/>
      <c r="O45" s="24" t="n"/>
      <c r="P45" s="28" t="n"/>
      <c r="Q45" s="1">
        <f>IF(K45&gt;=0.8,Q44+1,0)</f>
        <v/>
      </c>
      <c r="R45" s="1" t="n"/>
    </row>
    <row r="46" ht="21" customHeight="1">
      <c r="A46" s="22">
        <f>DATE(2026,10,1)+37</f>
        <v/>
      </c>
      <c r="B46" s="23">
        <f>CHOOSE(WEEKDAY(A46,2),"Пн","Вт","Ср","Чт","Пт","Сб","Вс")</f>
        <v/>
      </c>
      <c r="C46" s="24" t="n"/>
      <c r="D46" s="24" t="n"/>
      <c r="E46" s="24" t="n"/>
      <c r="F46" s="24" t="n"/>
      <c r="G46" s="24" t="n"/>
      <c r="H46" s="24" t="n"/>
      <c r="I46" s="24" t="n"/>
      <c r="J46" s="24" t="n"/>
      <c r="K46" s="25">
        <f>COUNTIF(C46:J46,TRUE)/8</f>
        <v/>
      </c>
      <c r="L46" s="37">
        <f>REPT("▰",ROUND(K46*10))&amp;REPT("▱",10-ROUND(K46*10))</f>
        <v/>
      </c>
      <c r="M46" s="27" t="n"/>
      <c r="N46" s="27" t="n"/>
      <c r="O46" s="24" t="n"/>
      <c r="P46" s="28" t="n"/>
      <c r="Q46" s="1">
        <f>IF(K46&gt;=0.8,Q45+1,0)</f>
        <v/>
      </c>
      <c r="R46" s="1" t="n"/>
    </row>
    <row r="47" ht="21" customHeight="1">
      <c r="A47" s="22">
        <f>DATE(2026,10,1)+38</f>
        <v/>
      </c>
      <c r="B47" s="23">
        <f>CHOOSE(WEEKDAY(A47,2),"Пн","Вт","Ср","Чт","Пт","Сб","Вс")</f>
        <v/>
      </c>
      <c r="C47" s="24" t="n"/>
      <c r="D47" s="24" t="n"/>
      <c r="E47" s="24" t="n"/>
      <c r="F47" s="24" t="n"/>
      <c r="G47" s="24" t="n"/>
      <c r="H47" s="24" t="n"/>
      <c r="I47" s="24" t="n"/>
      <c r="J47" s="24" t="n"/>
      <c r="K47" s="25">
        <f>COUNTIF(C47:J47,TRUE)/8</f>
        <v/>
      </c>
      <c r="L47" s="37">
        <f>REPT("▰",ROUND(K47*10))&amp;REPT("▱",10-ROUND(K47*10))</f>
        <v/>
      </c>
      <c r="M47" s="27" t="n"/>
      <c r="N47" s="27" t="n"/>
      <c r="O47" s="24" t="n"/>
      <c r="P47" s="28" t="n"/>
      <c r="Q47" s="1">
        <f>IF(K47&gt;=0.8,Q46+1,0)</f>
        <v/>
      </c>
      <c r="R47" s="1" t="n"/>
    </row>
    <row r="48" ht="21" customHeight="1">
      <c r="A48" s="22">
        <f>DATE(2026,10,1)+39</f>
        <v/>
      </c>
      <c r="B48" s="23">
        <f>CHOOSE(WEEKDAY(A48,2),"Пн","Вт","Ср","Чт","Пт","Сб","Вс")</f>
        <v/>
      </c>
      <c r="C48" s="24" t="n"/>
      <c r="D48" s="24" t="n"/>
      <c r="E48" s="24" t="n"/>
      <c r="F48" s="24" t="n"/>
      <c r="G48" s="24" t="n"/>
      <c r="H48" s="24" t="n"/>
      <c r="I48" s="24" t="n"/>
      <c r="J48" s="24" t="n"/>
      <c r="K48" s="25">
        <f>COUNTIF(C48:J48,TRUE)/8</f>
        <v/>
      </c>
      <c r="L48" s="37">
        <f>REPT("▰",ROUND(K48*10))&amp;REPT("▱",10-ROUND(K48*10))</f>
        <v/>
      </c>
      <c r="M48" s="27" t="n"/>
      <c r="N48" s="27" t="n"/>
      <c r="O48" s="24" t="n"/>
      <c r="P48" s="28" t="n"/>
      <c r="Q48" s="1">
        <f>IF(K48&gt;=0.8,Q47+1,0)</f>
        <v/>
      </c>
      <c r="R48" s="1" t="n"/>
    </row>
    <row r="49" ht="21" customHeight="1">
      <c r="A49" s="22">
        <f>DATE(2026,10,1)+40</f>
        <v/>
      </c>
      <c r="B49" s="23">
        <f>CHOOSE(WEEKDAY(A49,2),"Пн","Вт","Ср","Чт","Пт","Сб","Вс")</f>
        <v/>
      </c>
      <c r="C49" s="24" t="n"/>
      <c r="D49" s="24" t="n"/>
      <c r="E49" s="24" t="n"/>
      <c r="F49" s="24" t="n"/>
      <c r="G49" s="24" t="n"/>
      <c r="H49" s="24" t="n"/>
      <c r="I49" s="24" t="n"/>
      <c r="J49" s="24" t="n"/>
      <c r="K49" s="25">
        <f>COUNTIF(C49:J49,TRUE)/8</f>
        <v/>
      </c>
      <c r="L49" s="37">
        <f>REPT("▰",ROUND(K49*10))&amp;REPT("▱",10-ROUND(K49*10))</f>
        <v/>
      </c>
      <c r="M49" s="27" t="n"/>
      <c r="N49" s="27" t="n"/>
      <c r="O49" s="24" t="n"/>
      <c r="P49" s="28" t="n"/>
      <c r="Q49" s="1">
        <f>IF(K49&gt;=0.8,Q48+1,0)</f>
        <v/>
      </c>
      <c r="R49" s="1" t="n"/>
    </row>
    <row r="50" ht="21" customHeight="1">
      <c r="A50" s="22">
        <f>DATE(2026,10,1)+41</f>
        <v/>
      </c>
      <c r="B50" s="23">
        <f>CHOOSE(WEEKDAY(A50,2),"Пн","Вт","Ср","Чт","Пт","Сб","Вс")</f>
        <v/>
      </c>
      <c r="C50" s="24" t="n"/>
      <c r="D50" s="24" t="n"/>
      <c r="E50" s="24" t="n"/>
      <c r="F50" s="24" t="n"/>
      <c r="G50" s="24" t="n"/>
      <c r="H50" s="24" t="n"/>
      <c r="I50" s="24" t="n"/>
      <c r="J50" s="24" t="n"/>
      <c r="K50" s="25">
        <f>COUNTIF(C50:J50,TRUE)/8</f>
        <v/>
      </c>
      <c r="L50" s="37">
        <f>REPT("▰",ROUND(K50*10))&amp;REPT("▱",10-ROUND(K50*10))</f>
        <v/>
      </c>
      <c r="M50" s="27" t="n"/>
      <c r="N50" s="27" t="n"/>
      <c r="O50" s="24" t="n"/>
      <c r="P50" s="28" t="n"/>
      <c r="Q50" s="1">
        <f>IF(K50&gt;=0.8,Q49+1,0)</f>
        <v/>
      </c>
      <c r="R50" s="1" t="n"/>
    </row>
    <row r="51" ht="21" customHeight="1">
      <c r="A51" s="22">
        <f>DATE(2026,10,1)+42</f>
        <v/>
      </c>
      <c r="B51" s="23">
        <f>CHOOSE(WEEKDAY(A51,2),"Пн","Вт","Ср","Чт","Пт","Сб","Вс")</f>
        <v/>
      </c>
      <c r="C51" s="24" t="n"/>
      <c r="D51" s="24" t="n"/>
      <c r="E51" s="24" t="n"/>
      <c r="F51" s="24" t="n"/>
      <c r="G51" s="24" t="n"/>
      <c r="H51" s="24" t="n"/>
      <c r="I51" s="24" t="n"/>
      <c r="J51" s="24" t="n"/>
      <c r="K51" s="25">
        <f>COUNTIF(C51:J51,TRUE)/8</f>
        <v/>
      </c>
      <c r="L51" s="37">
        <f>REPT("▰",ROUND(K51*10))&amp;REPT("▱",10-ROUND(K51*10))</f>
        <v/>
      </c>
      <c r="M51" s="27" t="n"/>
      <c r="N51" s="27" t="n"/>
      <c r="O51" s="24" t="n"/>
      <c r="P51" s="28" t="n"/>
      <c r="Q51" s="1">
        <f>IF(K51&gt;=0.8,Q50+1,0)</f>
        <v/>
      </c>
      <c r="R51" s="1" t="n"/>
    </row>
    <row r="52" ht="21" customHeight="1">
      <c r="A52" s="22">
        <f>DATE(2026,10,1)+43</f>
        <v/>
      </c>
      <c r="B52" s="23">
        <f>CHOOSE(WEEKDAY(A52,2),"Пн","Вт","Ср","Чт","Пт","Сб","Вс")</f>
        <v/>
      </c>
      <c r="C52" s="24" t="n"/>
      <c r="D52" s="24" t="n"/>
      <c r="E52" s="24" t="n"/>
      <c r="F52" s="24" t="n"/>
      <c r="G52" s="24" t="n"/>
      <c r="H52" s="24" t="n"/>
      <c r="I52" s="24" t="n"/>
      <c r="J52" s="24" t="n"/>
      <c r="K52" s="25">
        <f>COUNTIF(C52:J52,TRUE)/8</f>
        <v/>
      </c>
      <c r="L52" s="37">
        <f>REPT("▰",ROUND(K52*10))&amp;REPT("▱",10-ROUND(K52*10))</f>
        <v/>
      </c>
      <c r="M52" s="27" t="n"/>
      <c r="N52" s="27" t="n"/>
      <c r="O52" s="24" t="n"/>
      <c r="P52" s="28" t="n"/>
      <c r="Q52" s="1">
        <f>IF(K52&gt;=0.8,Q51+1,0)</f>
        <v/>
      </c>
      <c r="R52" s="1" t="n"/>
    </row>
    <row r="53" ht="21" customHeight="1">
      <c r="A53" s="22">
        <f>DATE(2026,10,1)+44</f>
        <v/>
      </c>
      <c r="B53" s="23">
        <f>CHOOSE(WEEKDAY(A53,2),"Пн","Вт","Ср","Чт","Пт","Сб","Вс")</f>
        <v/>
      </c>
      <c r="C53" s="24" t="n"/>
      <c r="D53" s="24" t="n"/>
      <c r="E53" s="24" t="n"/>
      <c r="F53" s="24" t="n"/>
      <c r="G53" s="24" t="n"/>
      <c r="H53" s="24" t="n"/>
      <c r="I53" s="24" t="n"/>
      <c r="J53" s="24" t="n"/>
      <c r="K53" s="25">
        <f>COUNTIF(C53:J53,TRUE)/8</f>
        <v/>
      </c>
      <c r="L53" s="37">
        <f>REPT("▰",ROUND(K53*10))&amp;REPT("▱",10-ROUND(K53*10))</f>
        <v/>
      </c>
      <c r="M53" s="27" t="n"/>
      <c r="N53" s="27" t="n"/>
      <c r="O53" s="24" t="n"/>
      <c r="P53" s="28" t="n"/>
      <c r="Q53" s="1">
        <f>IF(K53&gt;=0.8,Q52+1,0)</f>
        <v/>
      </c>
      <c r="R53" s="1" t="n"/>
    </row>
    <row r="54" ht="21" customHeight="1">
      <c r="A54" s="22">
        <f>DATE(2026,10,1)+45</f>
        <v/>
      </c>
      <c r="B54" s="23">
        <f>CHOOSE(WEEKDAY(A54,2),"Пн","Вт","Ср","Чт","Пт","Сб","Вс")</f>
        <v/>
      </c>
      <c r="C54" s="24" t="n"/>
      <c r="D54" s="24" t="n"/>
      <c r="E54" s="24" t="n"/>
      <c r="F54" s="24" t="n"/>
      <c r="G54" s="24" t="n"/>
      <c r="H54" s="24" t="n"/>
      <c r="I54" s="24" t="n"/>
      <c r="J54" s="24" t="n"/>
      <c r="K54" s="25">
        <f>COUNTIF(C54:J54,TRUE)/8</f>
        <v/>
      </c>
      <c r="L54" s="37">
        <f>REPT("▰",ROUND(K54*10))&amp;REPT("▱",10-ROUND(K54*10))</f>
        <v/>
      </c>
      <c r="M54" s="27" t="n"/>
      <c r="N54" s="27" t="n"/>
      <c r="O54" s="24" t="n"/>
      <c r="P54" s="28" t="n"/>
      <c r="Q54" s="1">
        <f>IF(K54&gt;=0.8,Q53+1,0)</f>
        <v/>
      </c>
      <c r="R54" s="1" t="n"/>
    </row>
    <row r="55" ht="21" customHeight="1">
      <c r="A55" s="22">
        <f>DATE(2026,10,1)+46</f>
        <v/>
      </c>
      <c r="B55" s="23">
        <f>CHOOSE(WEEKDAY(A55,2),"Пн","Вт","Ср","Чт","Пт","Сб","Вс")</f>
        <v/>
      </c>
      <c r="C55" s="24" t="n"/>
      <c r="D55" s="24" t="n"/>
      <c r="E55" s="24" t="n"/>
      <c r="F55" s="24" t="n"/>
      <c r="G55" s="24" t="n"/>
      <c r="H55" s="24" t="n"/>
      <c r="I55" s="24" t="n"/>
      <c r="J55" s="24" t="n"/>
      <c r="K55" s="25">
        <f>COUNTIF(C55:J55,TRUE)/8</f>
        <v/>
      </c>
      <c r="L55" s="37">
        <f>REPT("▰",ROUND(K55*10))&amp;REPT("▱",10-ROUND(K55*10))</f>
        <v/>
      </c>
      <c r="M55" s="27" t="n"/>
      <c r="N55" s="27" t="n"/>
      <c r="O55" s="24" t="n"/>
      <c r="P55" s="28" t="n"/>
      <c r="Q55" s="1">
        <f>IF(K55&gt;=0.8,Q54+1,0)</f>
        <v/>
      </c>
      <c r="R55" s="1" t="n"/>
    </row>
    <row r="56" ht="21" customHeight="1">
      <c r="A56" s="22">
        <f>DATE(2026,10,1)+47</f>
        <v/>
      </c>
      <c r="B56" s="23">
        <f>CHOOSE(WEEKDAY(A56,2),"Пн","Вт","Ср","Чт","Пт","Сб","Вс")</f>
        <v/>
      </c>
      <c r="C56" s="24" t="n"/>
      <c r="D56" s="24" t="n"/>
      <c r="E56" s="24" t="n"/>
      <c r="F56" s="24" t="n"/>
      <c r="G56" s="24" t="n"/>
      <c r="H56" s="24" t="n"/>
      <c r="I56" s="24" t="n"/>
      <c r="J56" s="24" t="n"/>
      <c r="K56" s="25">
        <f>COUNTIF(C56:J56,TRUE)/8</f>
        <v/>
      </c>
      <c r="L56" s="37">
        <f>REPT("▰",ROUND(K56*10))&amp;REPT("▱",10-ROUND(K56*10))</f>
        <v/>
      </c>
      <c r="M56" s="27" t="n"/>
      <c r="N56" s="27" t="n"/>
      <c r="O56" s="24" t="n"/>
      <c r="P56" s="28" t="n"/>
      <c r="Q56" s="1">
        <f>IF(K56&gt;=0.8,Q55+1,0)</f>
        <v/>
      </c>
      <c r="R56" s="1" t="n"/>
    </row>
    <row r="57" ht="21" customHeight="1">
      <c r="A57" s="22">
        <f>DATE(2026,10,1)+48</f>
        <v/>
      </c>
      <c r="B57" s="23">
        <f>CHOOSE(WEEKDAY(A57,2),"Пн","Вт","Ср","Чт","Пт","Сб","Вс")</f>
        <v/>
      </c>
      <c r="C57" s="24" t="n"/>
      <c r="D57" s="24" t="n"/>
      <c r="E57" s="24" t="n"/>
      <c r="F57" s="24" t="n"/>
      <c r="G57" s="24" t="n"/>
      <c r="H57" s="24" t="n"/>
      <c r="I57" s="24" t="n"/>
      <c r="J57" s="24" t="n"/>
      <c r="K57" s="25">
        <f>COUNTIF(C57:J57,TRUE)/8</f>
        <v/>
      </c>
      <c r="L57" s="37">
        <f>REPT("▰",ROUND(K57*10))&amp;REPT("▱",10-ROUND(K57*10))</f>
        <v/>
      </c>
      <c r="M57" s="27" t="n"/>
      <c r="N57" s="27" t="n"/>
      <c r="O57" s="24" t="n"/>
      <c r="P57" s="28" t="n"/>
      <c r="Q57" s="1">
        <f>IF(K57&gt;=0.8,Q56+1,0)</f>
        <v/>
      </c>
      <c r="R57" s="1" t="n"/>
    </row>
    <row r="58" ht="21" customHeight="1">
      <c r="A58" s="22">
        <f>DATE(2026,10,1)+49</f>
        <v/>
      </c>
      <c r="B58" s="23">
        <f>CHOOSE(WEEKDAY(A58,2),"Пн","Вт","Ср","Чт","Пт","Сб","Вс")</f>
        <v/>
      </c>
      <c r="C58" s="24" t="n"/>
      <c r="D58" s="24" t="n"/>
      <c r="E58" s="24" t="n"/>
      <c r="F58" s="24" t="n"/>
      <c r="G58" s="24" t="n"/>
      <c r="H58" s="24" t="n"/>
      <c r="I58" s="24" t="n"/>
      <c r="J58" s="24" t="n"/>
      <c r="K58" s="25">
        <f>COUNTIF(C58:J58,TRUE)/8</f>
        <v/>
      </c>
      <c r="L58" s="37">
        <f>REPT("▰",ROUND(K58*10))&amp;REPT("▱",10-ROUND(K58*10))</f>
        <v/>
      </c>
      <c r="M58" s="27" t="n"/>
      <c r="N58" s="27" t="n"/>
      <c r="O58" s="24" t="n"/>
      <c r="P58" s="28" t="n"/>
      <c r="Q58" s="1">
        <f>IF(K58&gt;=0.8,Q57+1,0)</f>
        <v/>
      </c>
      <c r="R58" s="1" t="n"/>
    </row>
    <row r="59" ht="21" customHeight="1">
      <c r="A59" s="22">
        <f>DATE(2026,10,1)+50</f>
        <v/>
      </c>
      <c r="B59" s="23">
        <f>CHOOSE(WEEKDAY(A59,2),"Пн","Вт","Ср","Чт","Пт","Сб","Вс")</f>
        <v/>
      </c>
      <c r="C59" s="24" t="n"/>
      <c r="D59" s="24" t="n"/>
      <c r="E59" s="24" t="n"/>
      <c r="F59" s="24" t="n"/>
      <c r="G59" s="24" t="n"/>
      <c r="H59" s="24" t="n"/>
      <c r="I59" s="24" t="n"/>
      <c r="J59" s="24" t="n"/>
      <c r="K59" s="25">
        <f>COUNTIF(C59:J59,TRUE)/8</f>
        <v/>
      </c>
      <c r="L59" s="37">
        <f>REPT("▰",ROUND(K59*10))&amp;REPT("▱",10-ROUND(K59*10))</f>
        <v/>
      </c>
      <c r="M59" s="27" t="n"/>
      <c r="N59" s="27" t="n"/>
      <c r="O59" s="24" t="n"/>
      <c r="P59" s="28" t="n"/>
      <c r="Q59" s="1">
        <f>IF(K59&gt;=0.8,Q58+1,0)</f>
        <v/>
      </c>
      <c r="R59" s="1" t="n"/>
    </row>
    <row r="60" ht="21" customHeight="1">
      <c r="A60" s="22">
        <f>DATE(2026,10,1)+51</f>
        <v/>
      </c>
      <c r="B60" s="23">
        <f>CHOOSE(WEEKDAY(A60,2),"Пн","Вт","Ср","Чт","Пт","Сб","Вс")</f>
        <v/>
      </c>
      <c r="C60" s="24" t="n"/>
      <c r="D60" s="24" t="n"/>
      <c r="E60" s="24" t="n"/>
      <c r="F60" s="24" t="n"/>
      <c r="G60" s="24" t="n"/>
      <c r="H60" s="24" t="n"/>
      <c r="I60" s="24" t="n"/>
      <c r="J60" s="24" t="n"/>
      <c r="K60" s="25">
        <f>COUNTIF(C60:J60,TRUE)/8</f>
        <v/>
      </c>
      <c r="L60" s="37">
        <f>REPT("▰",ROUND(K60*10))&amp;REPT("▱",10-ROUND(K60*10))</f>
        <v/>
      </c>
      <c r="M60" s="27" t="n"/>
      <c r="N60" s="27" t="n"/>
      <c r="O60" s="24" t="n"/>
      <c r="P60" s="28" t="n"/>
      <c r="Q60" s="1">
        <f>IF(K60&gt;=0.8,Q59+1,0)</f>
        <v/>
      </c>
      <c r="R60" s="1" t="n"/>
    </row>
    <row r="61" ht="21" customHeight="1">
      <c r="A61" s="22">
        <f>DATE(2026,10,1)+52</f>
        <v/>
      </c>
      <c r="B61" s="23">
        <f>CHOOSE(WEEKDAY(A61,2),"Пн","Вт","Ср","Чт","Пт","Сб","Вс")</f>
        <v/>
      </c>
      <c r="C61" s="24" t="n"/>
      <c r="D61" s="24" t="n"/>
      <c r="E61" s="24" t="n"/>
      <c r="F61" s="24" t="n"/>
      <c r="G61" s="24" t="n"/>
      <c r="H61" s="24" t="n"/>
      <c r="I61" s="24" t="n"/>
      <c r="J61" s="24" t="n"/>
      <c r="K61" s="25">
        <f>COUNTIF(C61:J61,TRUE)/8</f>
        <v/>
      </c>
      <c r="L61" s="37">
        <f>REPT("▰",ROUND(K61*10))&amp;REPT("▱",10-ROUND(K61*10))</f>
        <v/>
      </c>
      <c r="M61" s="27" t="n"/>
      <c r="N61" s="27" t="n"/>
      <c r="O61" s="24" t="n"/>
      <c r="P61" s="28" t="n"/>
      <c r="Q61" s="1">
        <f>IF(K61&gt;=0.8,Q60+1,0)</f>
        <v/>
      </c>
      <c r="R61" s="1" t="n"/>
    </row>
    <row r="62" ht="21" customHeight="1">
      <c r="A62" s="22">
        <f>DATE(2026,10,1)+53</f>
        <v/>
      </c>
      <c r="B62" s="23">
        <f>CHOOSE(WEEKDAY(A62,2),"Пн","Вт","Ср","Чт","Пт","Сб","Вс")</f>
        <v/>
      </c>
      <c r="C62" s="24" t="n"/>
      <c r="D62" s="24" t="n"/>
      <c r="E62" s="24" t="n"/>
      <c r="F62" s="24" t="n"/>
      <c r="G62" s="24" t="n"/>
      <c r="H62" s="24" t="n"/>
      <c r="I62" s="24" t="n"/>
      <c r="J62" s="24" t="n"/>
      <c r="K62" s="25">
        <f>COUNTIF(C62:J62,TRUE)/8</f>
        <v/>
      </c>
      <c r="L62" s="37">
        <f>REPT("▰",ROUND(K62*10))&amp;REPT("▱",10-ROUND(K62*10))</f>
        <v/>
      </c>
      <c r="M62" s="27" t="n"/>
      <c r="N62" s="27" t="n"/>
      <c r="O62" s="24" t="n"/>
      <c r="P62" s="28" t="n"/>
      <c r="Q62" s="1">
        <f>IF(K62&gt;=0.8,Q61+1,0)</f>
        <v/>
      </c>
      <c r="R62" s="1" t="n"/>
    </row>
    <row r="63" ht="21" customHeight="1">
      <c r="A63" s="22">
        <f>DATE(2026,10,1)+54</f>
        <v/>
      </c>
      <c r="B63" s="23">
        <f>CHOOSE(WEEKDAY(A63,2),"Пн","Вт","Ср","Чт","Пт","Сб","Вс")</f>
        <v/>
      </c>
      <c r="C63" s="24" t="n"/>
      <c r="D63" s="24" t="n"/>
      <c r="E63" s="24" t="n"/>
      <c r="F63" s="24" t="n"/>
      <c r="G63" s="24" t="n"/>
      <c r="H63" s="24" t="n"/>
      <c r="I63" s="24" t="n"/>
      <c r="J63" s="24" t="n"/>
      <c r="K63" s="25">
        <f>COUNTIF(C63:J63,TRUE)/8</f>
        <v/>
      </c>
      <c r="L63" s="37">
        <f>REPT("▰",ROUND(K63*10))&amp;REPT("▱",10-ROUND(K63*10))</f>
        <v/>
      </c>
      <c r="M63" s="27" t="n"/>
      <c r="N63" s="27" t="n"/>
      <c r="O63" s="24" t="n"/>
      <c r="P63" s="28" t="n"/>
      <c r="Q63" s="1">
        <f>IF(K63&gt;=0.8,Q62+1,0)</f>
        <v/>
      </c>
      <c r="R63" s="1" t="n"/>
    </row>
    <row r="64" ht="21" customHeight="1">
      <c r="A64" s="22">
        <f>DATE(2026,10,1)+55</f>
        <v/>
      </c>
      <c r="B64" s="23">
        <f>CHOOSE(WEEKDAY(A64,2),"Пн","Вт","Ср","Чт","Пт","Сб","Вс")</f>
        <v/>
      </c>
      <c r="C64" s="24" t="n"/>
      <c r="D64" s="24" t="n"/>
      <c r="E64" s="24" t="n"/>
      <c r="F64" s="24" t="n"/>
      <c r="G64" s="24" t="n"/>
      <c r="H64" s="24" t="n"/>
      <c r="I64" s="24" t="n"/>
      <c r="J64" s="24" t="n"/>
      <c r="K64" s="25">
        <f>COUNTIF(C64:J64,TRUE)/8</f>
        <v/>
      </c>
      <c r="L64" s="37">
        <f>REPT("▰",ROUND(K64*10))&amp;REPT("▱",10-ROUND(K64*10))</f>
        <v/>
      </c>
      <c r="M64" s="27" t="n"/>
      <c r="N64" s="27" t="n"/>
      <c r="O64" s="24" t="n"/>
      <c r="P64" s="28" t="n"/>
      <c r="Q64" s="1">
        <f>IF(K64&gt;=0.8,Q63+1,0)</f>
        <v/>
      </c>
      <c r="R64" s="1" t="n"/>
    </row>
    <row r="65" ht="21" customHeight="1">
      <c r="A65" s="22">
        <f>DATE(2026,10,1)+56</f>
        <v/>
      </c>
      <c r="B65" s="23">
        <f>CHOOSE(WEEKDAY(A65,2),"Пн","Вт","Ср","Чт","Пт","Сб","Вс")</f>
        <v/>
      </c>
      <c r="C65" s="24" t="n"/>
      <c r="D65" s="24" t="n"/>
      <c r="E65" s="24" t="n"/>
      <c r="F65" s="24" t="n"/>
      <c r="G65" s="24" t="n"/>
      <c r="H65" s="24" t="n"/>
      <c r="I65" s="24" t="n"/>
      <c r="J65" s="24" t="n"/>
      <c r="K65" s="25">
        <f>COUNTIF(C65:J65,TRUE)/8</f>
        <v/>
      </c>
      <c r="L65" s="37">
        <f>REPT("▰",ROUND(K65*10))&amp;REPT("▱",10-ROUND(K65*10))</f>
        <v/>
      </c>
      <c r="M65" s="27" t="n"/>
      <c r="N65" s="27" t="n"/>
      <c r="O65" s="24" t="n"/>
      <c r="P65" s="28" t="n"/>
      <c r="Q65" s="1">
        <f>IF(K65&gt;=0.8,Q64+1,0)</f>
        <v/>
      </c>
      <c r="R65" s="1" t="n"/>
    </row>
    <row r="66" ht="21" customHeight="1">
      <c r="A66" s="22">
        <f>DATE(2026,10,1)+57</f>
        <v/>
      </c>
      <c r="B66" s="23">
        <f>CHOOSE(WEEKDAY(A66,2),"Пн","Вт","Ср","Чт","Пт","Сб","Вс")</f>
        <v/>
      </c>
      <c r="C66" s="24" t="n"/>
      <c r="D66" s="24" t="n"/>
      <c r="E66" s="24" t="n"/>
      <c r="F66" s="24" t="n"/>
      <c r="G66" s="24" t="n"/>
      <c r="H66" s="24" t="n"/>
      <c r="I66" s="24" t="n"/>
      <c r="J66" s="24" t="n"/>
      <c r="K66" s="25">
        <f>COUNTIF(C66:J66,TRUE)/8</f>
        <v/>
      </c>
      <c r="L66" s="37">
        <f>REPT("▰",ROUND(K66*10))&amp;REPT("▱",10-ROUND(K66*10))</f>
        <v/>
      </c>
      <c r="M66" s="27" t="n"/>
      <c r="N66" s="27" t="n"/>
      <c r="O66" s="24" t="n"/>
      <c r="P66" s="28" t="n"/>
      <c r="Q66" s="1">
        <f>IF(K66&gt;=0.8,Q65+1,0)</f>
        <v/>
      </c>
      <c r="R66" s="1" t="n"/>
    </row>
    <row r="67" ht="21" customHeight="1">
      <c r="A67" s="22">
        <f>DATE(2026,10,1)+58</f>
        <v/>
      </c>
      <c r="B67" s="23">
        <f>CHOOSE(WEEKDAY(A67,2),"Пн","Вт","Ср","Чт","Пт","Сб","Вс")</f>
        <v/>
      </c>
      <c r="C67" s="24" t="n"/>
      <c r="D67" s="24" t="n"/>
      <c r="E67" s="24" t="n"/>
      <c r="F67" s="24" t="n"/>
      <c r="G67" s="24" t="n"/>
      <c r="H67" s="24" t="n"/>
      <c r="I67" s="24" t="n"/>
      <c r="J67" s="24" t="n"/>
      <c r="K67" s="25">
        <f>COUNTIF(C67:J67,TRUE)/8</f>
        <v/>
      </c>
      <c r="L67" s="37">
        <f>REPT("▰",ROUND(K67*10))&amp;REPT("▱",10-ROUND(K67*10))</f>
        <v/>
      </c>
      <c r="M67" s="27" t="n"/>
      <c r="N67" s="27" t="n"/>
      <c r="O67" s="24" t="n"/>
      <c r="P67" s="28" t="n"/>
      <c r="Q67" s="1">
        <f>IF(K67&gt;=0.8,Q66+1,0)</f>
        <v/>
      </c>
      <c r="R67" s="1" t="n"/>
    </row>
    <row r="68" ht="21" customHeight="1">
      <c r="A68" s="22">
        <f>DATE(2026,10,1)+59</f>
        <v/>
      </c>
      <c r="B68" s="23">
        <f>CHOOSE(WEEKDAY(A68,2),"Пн","Вт","Ср","Чт","Пт","Сб","Вс")</f>
        <v/>
      </c>
      <c r="C68" s="24" t="n"/>
      <c r="D68" s="24" t="n"/>
      <c r="E68" s="24" t="n"/>
      <c r="F68" s="24" t="n"/>
      <c r="G68" s="24" t="n"/>
      <c r="H68" s="24" t="n"/>
      <c r="I68" s="24" t="n"/>
      <c r="J68" s="24" t="n"/>
      <c r="K68" s="25">
        <f>COUNTIF(C68:J68,TRUE)/8</f>
        <v/>
      </c>
      <c r="L68" s="37">
        <f>REPT("▰",ROUND(K68*10))&amp;REPT("▱",10-ROUND(K68*10))</f>
        <v/>
      </c>
      <c r="M68" s="27" t="n"/>
      <c r="N68" s="27" t="n"/>
      <c r="O68" s="24" t="n"/>
      <c r="P68" s="28" t="n"/>
      <c r="Q68" s="1">
        <f>IF(K68&gt;=0.8,Q67+1,0)</f>
        <v/>
      </c>
      <c r="R68" s="1" t="n"/>
    </row>
    <row r="69" ht="21" customHeight="1">
      <c r="A69" s="22">
        <f>DATE(2026,10,1)+60</f>
        <v/>
      </c>
      <c r="B69" s="23">
        <f>CHOOSE(WEEKDAY(A69,2),"Пн","Вт","Ср","Чт","Пт","Сб","Вс")</f>
        <v/>
      </c>
      <c r="C69" s="24" t="n"/>
      <c r="D69" s="24" t="n"/>
      <c r="E69" s="24" t="n"/>
      <c r="F69" s="24" t="n"/>
      <c r="G69" s="24" t="n"/>
      <c r="H69" s="24" t="n"/>
      <c r="I69" s="24" t="n"/>
      <c r="J69" s="24" t="n"/>
      <c r="K69" s="25">
        <f>COUNTIF(C69:J69,TRUE)/8</f>
        <v/>
      </c>
      <c r="L69" s="37">
        <f>REPT("▰",ROUND(K69*10))&amp;REPT("▱",10-ROUND(K69*10))</f>
        <v/>
      </c>
      <c r="M69" s="27" t="n"/>
      <c r="N69" s="27" t="n"/>
      <c r="O69" s="24" t="n"/>
      <c r="P69" s="28" t="n"/>
      <c r="Q69" s="1">
        <f>IF(K69&gt;=0.8,Q68+1,0)</f>
        <v/>
      </c>
      <c r="R69" s="1" t="n"/>
    </row>
    <row r="70" ht="21" customHeight="1">
      <c r="A70" s="22">
        <f>DATE(2026,10,1)+61</f>
        <v/>
      </c>
      <c r="B70" s="23">
        <f>CHOOSE(WEEKDAY(A70,2),"Пн","Вт","Ср","Чт","Пт","Сб","Вс")</f>
        <v/>
      </c>
      <c r="C70" s="24" t="n"/>
      <c r="D70" s="24" t="n"/>
      <c r="E70" s="24" t="n"/>
      <c r="F70" s="24" t="n"/>
      <c r="G70" s="24" t="n"/>
      <c r="H70" s="24" t="n"/>
      <c r="I70" s="24" t="n"/>
      <c r="J70" s="24" t="n"/>
      <c r="K70" s="25">
        <f>COUNTIF(C70:J70,TRUE)/8</f>
        <v/>
      </c>
      <c r="L70" s="37">
        <f>REPT("▰",ROUND(K70*10))&amp;REPT("▱",10-ROUND(K70*10))</f>
        <v/>
      </c>
      <c r="M70" s="27" t="n"/>
      <c r="N70" s="27" t="n"/>
      <c r="O70" s="24" t="n"/>
      <c r="P70" s="28" t="n"/>
      <c r="Q70" s="1">
        <f>IF(K70&gt;=0.8,Q69+1,0)</f>
        <v/>
      </c>
      <c r="R70" s="1" t="n"/>
    </row>
    <row r="71" ht="21" customHeight="1">
      <c r="A71" s="22">
        <f>DATE(2026,10,1)+62</f>
        <v/>
      </c>
      <c r="B71" s="23">
        <f>CHOOSE(WEEKDAY(A71,2),"Пн","Вт","Ср","Чт","Пт","Сб","Вс")</f>
        <v/>
      </c>
      <c r="C71" s="24" t="n"/>
      <c r="D71" s="24" t="n"/>
      <c r="E71" s="24" t="n"/>
      <c r="F71" s="24" t="n"/>
      <c r="G71" s="24" t="n"/>
      <c r="H71" s="24" t="n"/>
      <c r="I71" s="24" t="n"/>
      <c r="J71" s="24" t="n"/>
      <c r="K71" s="25">
        <f>COUNTIF(C71:J71,TRUE)/8</f>
        <v/>
      </c>
      <c r="L71" s="37">
        <f>REPT("▰",ROUND(K71*10))&amp;REPT("▱",10-ROUND(K71*10))</f>
        <v/>
      </c>
      <c r="M71" s="27" t="n"/>
      <c r="N71" s="27" t="n"/>
      <c r="O71" s="24" t="n"/>
      <c r="P71" s="28" t="n"/>
      <c r="Q71" s="1">
        <f>IF(K71&gt;=0.8,Q70+1,0)</f>
        <v/>
      </c>
      <c r="R71" s="1" t="n"/>
    </row>
    <row r="72" ht="21" customHeight="1">
      <c r="A72" s="22">
        <f>DATE(2026,10,1)+63</f>
        <v/>
      </c>
      <c r="B72" s="23">
        <f>CHOOSE(WEEKDAY(A72,2),"Пн","Вт","Ср","Чт","Пт","Сб","Вс")</f>
        <v/>
      </c>
      <c r="C72" s="24" t="n"/>
      <c r="D72" s="24" t="n"/>
      <c r="E72" s="24" t="n"/>
      <c r="F72" s="24" t="n"/>
      <c r="G72" s="24" t="n"/>
      <c r="H72" s="24" t="n"/>
      <c r="I72" s="24" t="n"/>
      <c r="J72" s="24" t="n"/>
      <c r="K72" s="25">
        <f>COUNTIF(C72:J72,TRUE)/8</f>
        <v/>
      </c>
      <c r="L72" s="37">
        <f>REPT("▰",ROUND(K72*10))&amp;REPT("▱",10-ROUND(K72*10))</f>
        <v/>
      </c>
      <c r="M72" s="27" t="n"/>
      <c r="N72" s="27" t="n"/>
      <c r="O72" s="24" t="n"/>
      <c r="P72" s="28" t="n"/>
      <c r="Q72" s="1">
        <f>IF(K72&gt;=0.8,Q71+1,0)</f>
        <v/>
      </c>
      <c r="R72" s="1" t="n"/>
    </row>
    <row r="73" ht="21" customHeight="1">
      <c r="A73" s="22">
        <f>DATE(2026,10,1)+64</f>
        <v/>
      </c>
      <c r="B73" s="23">
        <f>CHOOSE(WEEKDAY(A73,2),"Пн","Вт","Ср","Чт","Пт","Сб","Вс")</f>
        <v/>
      </c>
      <c r="C73" s="24" t="n"/>
      <c r="D73" s="24" t="n"/>
      <c r="E73" s="24" t="n"/>
      <c r="F73" s="24" t="n"/>
      <c r="G73" s="24" t="n"/>
      <c r="H73" s="24" t="n"/>
      <c r="I73" s="24" t="n"/>
      <c r="J73" s="24" t="n"/>
      <c r="K73" s="25">
        <f>COUNTIF(C73:J73,TRUE)/8</f>
        <v/>
      </c>
      <c r="L73" s="37">
        <f>REPT("▰",ROUND(K73*10))&amp;REPT("▱",10-ROUND(K73*10))</f>
        <v/>
      </c>
      <c r="M73" s="27" t="n"/>
      <c r="N73" s="27" t="n"/>
      <c r="O73" s="24" t="n"/>
      <c r="P73" s="28" t="n"/>
      <c r="Q73" s="1">
        <f>IF(K73&gt;=0.8,Q72+1,0)</f>
        <v/>
      </c>
      <c r="R73" s="1" t="n"/>
    </row>
    <row r="74" ht="21" customHeight="1">
      <c r="A74" s="22">
        <f>DATE(2026,10,1)+65</f>
        <v/>
      </c>
      <c r="B74" s="23">
        <f>CHOOSE(WEEKDAY(A74,2),"Пн","Вт","Ср","Чт","Пт","Сб","Вс")</f>
        <v/>
      </c>
      <c r="C74" s="24" t="n"/>
      <c r="D74" s="24" t="n"/>
      <c r="E74" s="24" t="n"/>
      <c r="F74" s="24" t="n"/>
      <c r="G74" s="24" t="n"/>
      <c r="H74" s="24" t="n"/>
      <c r="I74" s="24" t="n"/>
      <c r="J74" s="24" t="n"/>
      <c r="K74" s="25">
        <f>COUNTIF(C74:J74,TRUE)/8</f>
        <v/>
      </c>
      <c r="L74" s="37">
        <f>REPT("▰",ROUND(K74*10))&amp;REPT("▱",10-ROUND(K74*10))</f>
        <v/>
      </c>
      <c r="M74" s="27" t="n"/>
      <c r="N74" s="27" t="n"/>
      <c r="O74" s="24" t="n"/>
      <c r="P74" s="28" t="n"/>
      <c r="Q74" s="1">
        <f>IF(K74&gt;=0.8,Q73+1,0)</f>
        <v/>
      </c>
      <c r="R74" s="1" t="n"/>
    </row>
    <row r="75" ht="21" customHeight="1">
      <c r="A75" s="22">
        <f>DATE(2026,10,1)+66</f>
        <v/>
      </c>
      <c r="B75" s="23">
        <f>CHOOSE(WEEKDAY(A75,2),"Пн","Вт","Ср","Чт","Пт","Сб","Вс")</f>
        <v/>
      </c>
      <c r="C75" s="24" t="n"/>
      <c r="D75" s="24" t="n"/>
      <c r="E75" s="24" t="n"/>
      <c r="F75" s="24" t="n"/>
      <c r="G75" s="24" t="n"/>
      <c r="H75" s="24" t="n"/>
      <c r="I75" s="24" t="n"/>
      <c r="J75" s="24" t="n"/>
      <c r="K75" s="25">
        <f>COUNTIF(C75:J75,TRUE)/8</f>
        <v/>
      </c>
      <c r="L75" s="37">
        <f>REPT("▰",ROUND(K75*10))&amp;REPT("▱",10-ROUND(K75*10))</f>
        <v/>
      </c>
      <c r="M75" s="27" t="n"/>
      <c r="N75" s="27" t="n"/>
      <c r="O75" s="24" t="n"/>
      <c r="P75" s="28" t="n"/>
      <c r="Q75" s="1">
        <f>IF(K75&gt;=0.8,Q74+1,0)</f>
        <v/>
      </c>
      <c r="R75" s="1" t="n"/>
    </row>
    <row r="76" ht="21" customHeight="1">
      <c r="A76" s="22">
        <f>DATE(2026,10,1)+67</f>
        <v/>
      </c>
      <c r="B76" s="23">
        <f>CHOOSE(WEEKDAY(A76,2),"Пн","Вт","Ср","Чт","Пт","Сб","Вс")</f>
        <v/>
      </c>
      <c r="C76" s="24" t="n"/>
      <c r="D76" s="24" t="n"/>
      <c r="E76" s="24" t="n"/>
      <c r="F76" s="24" t="n"/>
      <c r="G76" s="24" t="n"/>
      <c r="H76" s="24" t="n"/>
      <c r="I76" s="24" t="n"/>
      <c r="J76" s="24" t="n"/>
      <c r="K76" s="25">
        <f>COUNTIF(C76:J76,TRUE)/8</f>
        <v/>
      </c>
      <c r="L76" s="37">
        <f>REPT("▰",ROUND(K76*10))&amp;REPT("▱",10-ROUND(K76*10))</f>
        <v/>
      </c>
      <c r="M76" s="27" t="n"/>
      <c r="N76" s="27" t="n"/>
      <c r="O76" s="24" t="n"/>
      <c r="P76" s="28" t="n"/>
      <c r="Q76" s="1">
        <f>IF(K76&gt;=0.8,Q75+1,0)</f>
        <v/>
      </c>
      <c r="R76" s="1" t="n"/>
    </row>
    <row r="77" ht="21" customHeight="1">
      <c r="A77" s="22">
        <f>DATE(2026,10,1)+68</f>
        <v/>
      </c>
      <c r="B77" s="23">
        <f>CHOOSE(WEEKDAY(A77,2),"Пн","Вт","Ср","Чт","Пт","Сб","Вс")</f>
        <v/>
      </c>
      <c r="C77" s="24" t="n"/>
      <c r="D77" s="24" t="n"/>
      <c r="E77" s="24" t="n"/>
      <c r="F77" s="24" t="n"/>
      <c r="G77" s="24" t="n"/>
      <c r="H77" s="24" t="n"/>
      <c r="I77" s="24" t="n"/>
      <c r="J77" s="24" t="n"/>
      <c r="K77" s="25">
        <f>COUNTIF(C77:J77,TRUE)/8</f>
        <v/>
      </c>
      <c r="L77" s="37">
        <f>REPT("▰",ROUND(K77*10))&amp;REPT("▱",10-ROUND(K77*10))</f>
        <v/>
      </c>
      <c r="M77" s="27" t="n"/>
      <c r="N77" s="27" t="n"/>
      <c r="O77" s="24" t="n"/>
      <c r="P77" s="28" t="n"/>
      <c r="Q77" s="1">
        <f>IF(K77&gt;=0.8,Q76+1,0)</f>
        <v/>
      </c>
      <c r="R77" s="1" t="n"/>
    </row>
    <row r="78" ht="21" customHeight="1">
      <c r="A78" s="22">
        <f>DATE(2026,10,1)+69</f>
        <v/>
      </c>
      <c r="B78" s="23">
        <f>CHOOSE(WEEKDAY(A78,2),"Пн","Вт","Ср","Чт","Пт","Сб","Вс")</f>
        <v/>
      </c>
      <c r="C78" s="24" t="n"/>
      <c r="D78" s="24" t="n"/>
      <c r="E78" s="24" t="n"/>
      <c r="F78" s="24" t="n"/>
      <c r="G78" s="24" t="n"/>
      <c r="H78" s="24" t="n"/>
      <c r="I78" s="24" t="n"/>
      <c r="J78" s="24" t="n"/>
      <c r="K78" s="25">
        <f>COUNTIF(C78:J78,TRUE)/8</f>
        <v/>
      </c>
      <c r="L78" s="37">
        <f>REPT("▰",ROUND(K78*10))&amp;REPT("▱",10-ROUND(K78*10))</f>
        <v/>
      </c>
      <c r="M78" s="27" t="n"/>
      <c r="N78" s="27" t="n"/>
      <c r="O78" s="24" t="n"/>
      <c r="P78" s="28" t="n"/>
      <c r="Q78" s="1">
        <f>IF(K78&gt;=0.8,Q77+1,0)</f>
        <v/>
      </c>
      <c r="R78" s="1" t="n"/>
    </row>
    <row r="79" ht="21" customHeight="1">
      <c r="A79" s="22">
        <f>DATE(2026,10,1)+70</f>
        <v/>
      </c>
      <c r="B79" s="23">
        <f>CHOOSE(WEEKDAY(A79,2),"Пн","Вт","Ср","Чт","Пт","Сб","Вс")</f>
        <v/>
      </c>
      <c r="C79" s="24" t="n"/>
      <c r="D79" s="24" t="n"/>
      <c r="E79" s="24" t="n"/>
      <c r="F79" s="24" t="n"/>
      <c r="G79" s="24" t="n"/>
      <c r="H79" s="24" t="n"/>
      <c r="I79" s="24" t="n"/>
      <c r="J79" s="24" t="n"/>
      <c r="K79" s="25">
        <f>COUNTIF(C79:J79,TRUE)/8</f>
        <v/>
      </c>
      <c r="L79" s="37">
        <f>REPT("▰",ROUND(K79*10))&amp;REPT("▱",10-ROUND(K79*10))</f>
        <v/>
      </c>
      <c r="M79" s="27" t="n"/>
      <c r="N79" s="27" t="n"/>
      <c r="O79" s="24" t="n"/>
      <c r="P79" s="28" t="n"/>
      <c r="Q79" s="1">
        <f>IF(K79&gt;=0.8,Q78+1,0)</f>
        <v/>
      </c>
      <c r="R79" s="1" t="n"/>
    </row>
    <row r="80" ht="21" customHeight="1">
      <c r="A80" s="22">
        <f>DATE(2026,10,1)+71</f>
        <v/>
      </c>
      <c r="B80" s="23">
        <f>CHOOSE(WEEKDAY(A80,2),"Пн","Вт","Ср","Чт","Пт","Сб","Вс")</f>
        <v/>
      </c>
      <c r="C80" s="24" t="n"/>
      <c r="D80" s="24" t="n"/>
      <c r="E80" s="24" t="n"/>
      <c r="F80" s="24" t="n"/>
      <c r="G80" s="24" t="n"/>
      <c r="H80" s="24" t="n"/>
      <c r="I80" s="24" t="n"/>
      <c r="J80" s="24" t="n"/>
      <c r="K80" s="25">
        <f>COUNTIF(C80:J80,TRUE)/8</f>
        <v/>
      </c>
      <c r="L80" s="37">
        <f>REPT("▰",ROUND(K80*10))&amp;REPT("▱",10-ROUND(K80*10))</f>
        <v/>
      </c>
      <c r="M80" s="27" t="n"/>
      <c r="N80" s="27" t="n"/>
      <c r="O80" s="24" t="n"/>
      <c r="P80" s="28" t="n"/>
      <c r="Q80" s="1">
        <f>IF(K80&gt;=0.8,Q79+1,0)</f>
        <v/>
      </c>
      <c r="R80" s="1" t="n"/>
    </row>
    <row r="81" ht="21" customHeight="1">
      <c r="A81" s="22">
        <f>DATE(2026,10,1)+72</f>
        <v/>
      </c>
      <c r="B81" s="23">
        <f>CHOOSE(WEEKDAY(A81,2),"Пн","Вт","Ср","Чт","Пт","Сб","Вс")</f>
        <v/>
      </c>
      <c r="C81" s="24" t="n"/>
      <c r="D81" s="24" t="n"/>
      <c r="E81" s="24" t="n"/>
      <c r="F81" s="24" t="n"/>
      <c r="G81" s="24" t="n"/>
      <c r="H81" s="24" t="n"/>
      <c r="I81" s="24" t="n"/>
      <c r="J81" s="24" t="n"/>
      <c r="K81" s="25">
        <f>COUNTIF(C81:J81,TRUE)/8</f>
        <v/>
      </c>
      <c r="L81" s="37">
        <f>REPT("▰",ROUND(K81*10))&amp;REPT("▱",10-ROUND(K81*10))</f>
        <v/>
      </c>
      <c r="M81" s="27" t="n"/>
      <c r="N81" s="27" t="n"/>
      <c r="O81" s="24" t="n"/>
      <c r="P81" s="28" t="n"/>
      <c r="Q81" s="1">
        <f>IF(K81&gt;=0.8,Q80+1,0)</f>
        <v/>
      </c>
      <c r="R81" s="1" t="n"/>
    </row>
    <row r="82" ht="21" customHeight="1">
      <c r="A82" s="22">
        <f>DATE(2026,10,1)+73</f>
        <v/>
      </c>
      <c r="B82" s="23">
        <f>CHOOSE(WEEKDAY(A82,2),"Пн","Вт","Ср","Чт","Пт","Сб","Вс")</f>
        <v/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5">
        <f>COUNTIF(C82:J82,TRUE)/8</f>
        <v/>
      </c>
      <c r="L82" s="37">
        <f>REPT("▰",ROUND(K82*10))&amp;REPT("▱",10-ROUND(K82*10))</f>
        <v/>
      </c>
      <c r="M82" s="27" t="n"/>
      <c r="N82" s="27" t="n"/>
      <c r="O82" s="24" t="n"/>
      <c r="P82" s="28" t="n"/>
      <c r="Q82" s="1">
        <f>IF(K82&gt;=0.8,Q81+1,0)</f>
        <v/>
      </c>
      <c r="R82" s="1" t="n"/>
    </row>
    <row r="83" ht="21" customHeight="1">
      <c r="A83" s="22">
        <f>DATE(2026,10,1)+74</f>
        <v/>
      </c>
      <c r="B83" s="23">
        <f>CHOOSE(WEEKDAY(A83,2),"Пн","Вт","Ср","Чт","Пт","Сб","Вс")</f>
        <v/>
      </c>
      <c r="C83" s="24" t="n"/>
      <c r="D83" s="24" t="n"/>
      <c r="E83" s="24" t="n"/>
      <c r="F83" s="24" t="n"/>
      <c r="G83" s="24" t="n"/>
      <c r="H83" s="24" t="n"/>
      <c r="I83" s="24" t="n"/>
      <c r="J83" s="24" t="n"/>
      <c r="K83" s="25">
        <f>COUNTIF(C83:J83,TRUE)/8</f>
        <v/>
      </c>
      <c r="L83" s="37">
        <f>REPT("▰",ROUND(K83*10))&amp;REPT("▱",10-ROUND(K83*10))</f>
        <v/>
      </c>
      <c r="M83" s="27" t="n"/>
      <c r="N83" s="27" t="n"/>
      <c r="O83" s="24" t="n"/>
      <c r="P83" s="28" t="n"/>
      <c r="Q83" s="1">
        <f>IF(K83&gt;=0.8,Q82+1,0)</f>
        <v/>
      </c>
      <c r="R83" s="1" t="n"/>
    </row>
    <row r="84" ht="21" customHeight="1">
      <c r="A84" s="22">
        <f>DATE(2026,10,1)+75</f>
        <v/>
      </c>
      <c r="B84" s="23">
        <f>CHOOSE(WEEKDAY(A84,2),"Пн","Вт","Ср","Чт","Пт","Сб","Вс")</f>
        <v/>
      </c>
      <c r="C84" s="24" t="n"/>
      <c r="D84" s="24" t="n"/>
      <c r="E84" s="24" t="n"/>
      <c r="F84" s="24" t="n"/>
      <c r="G84" s="24" t="n"/>
      <c r="H84" s="24" t="n"/>
      <c r="I84" s="24" t="n"/>
      <c r="J84" s="24" t="n"/>
      <c r="K84" s="25">
        <f>COUNTIF(C84:J84,TRUE)/8</f>
        <v/>
      </c>
      <c r="L84" s="37">
        <f>REPT("▰",ROUND(K84*10))&amp;REPT("▱",10-ROUND(K84*10))</f>
        <v/>
      </c>
      <c r="M84" s="27" t="n"/>
      <c r="N84" s="27" t="n"/>
      <c r="O84" s="24" t="n"/>
      <c r="P84" s="28" t="n"/>
      <c r="Q84" s="1">
        <f>IF(K84&gt;=0.8,Q83+1,0)</f>
        <v/>
      </c>
      <c r="R84" s="1" t="n"/>
    </row>
    <row r="85" ht="21" customHeight="1">
      <c r="A85" s="22">
        <f>DATE(2026,10,1)+76</f>
        <v/>
      </c>
      <c r="B85" s="23">
        <f>CHOOSE(WEEKDAY(A85,2),"Пн","Вт","Ср","Чт","Пт","Сб","Вс")</f>
        <v/>
      </c>
      <c r="C85" s="24" t="n"/>
      <c r="D85" s="24" t="n"/>
      <c r="E85" s="24" t="n"/>
      <c r="F85" s="24" t="n"/>
      <c r="G85" s="24" t="n"/>
      <c r="H85" s="24" t="n"/>
      <c r="I85" s="24" t="n"/>
      <c r="J85" s="24" t="n"/>
      <c r="K85" s="25">
        <f>COUNTIF(C85:J85,TRUE)/8</f>
        <v/>
      </c>
      <c r="L85" s="37">
        <f>REPT("▰",ROUND(K85*10))&amp;REPT("▱",10-ROUND(K85*10))</f>
        <v/>
      </c>
      <c r="M85" s="27" t="n"/>
      <c r="N85" s="27" t="n"/>
      <c r="O85" s="24" t="n"/>
      <c r="P85" s="28" t="n"/>
      <c r="Q85" s="1">
        <f>IF(K85&gt;=0.8,Q84+1,0)</f>
        <v/>
      </c>
      <c r="R85" s="1" t="n"/>
    </row>
    <row r="86" ht="21" customHeight="1">
      <c r="A86" s="22">
        <f>DATE(2026,10,1)+77</f>
        <v/>
      </c>
      <c r="B86" s="23">
        <f>CHOOSE(WEEKDAY(A86,2),"Пн","Вт","Ср","Чт","Пт","Сб","Вс")</f>
        <v/>
      </c>
      <c r="C86" s="24" t="n"/>
      <c r="D86" s="24" t="n"/>
      <c r="E86" s="24" t="n"/>
      <c r="F86" s="24" t="n"/>
      <c r="G86" s="24" t="n"/>
      <c r="H86" s="24" t="n"/>
      <c r="I86" s="24" t="n"/>
      <c r="J86" s="24" t="n"/>
      <c r="K86" s="25">
        <f>COUNTIF(C86:J86,TRUE)/8</f>
        <v/>
      </c>
      <c r="L86" s="37">
        <f>REPT("▰",ROUND(K86*10))&amp;REPT("▱",10-ROUND(K86*10))</f>
        <v/>
      </c>
      <c r="M86" s="27" t="n"/>
      <c r="N86" s="27" t="n"/>
      <c r="O86" s="24" t="n"/>
      <c r="P86" s="28" t="n"/>
      <c r="Q86" s="1">
        <f>IF(K86&gt;=0.8,Q85+1,0)</f>
        <v/>
      </c>
      <c r="R86" s="1" t="n"/>
    </row>
    <row r="87" ht="21" customHeight="1">
      <c r="A87" s="22">
        <f>DATE(2026,10,1)+78</f>
        <v/>
      </c>
      <c r="B87" s="23">
        <f>CHOOSE(WEEKDAY(A87,2),"Пн","Вт","Ср","Чт","Пт","Сб","Вс")</f>
        <v/>
      </c>
      <c r="C87" s="24" t="n"/>
      <c r="D87" s="24" t="n"/>
      <c r="E87" s="24" t="n"/>
      <c r="F87" s="24" t="n"/>
      <c r="G87" s="24" t="n"/>
      <c r="H87" s="24" t="n"/>
      <c r="I87" s="24" t="n"/>
      <c r="J87" s="24" t="n"/>
      <c r="K87" s="25">
        <f>COUNTIF(C87:J87,TRUE)/8</f>
        <v/>
      </c>
      <c r="L87" s="37">
        <f>REPT("▰",ROUND(K87*10))&amp;REPT("▱",10-ROUND(K87*10))</f>
        <v/>
      </c>
      <c r="M87" s="27" t="n"/>
      <c r="N87" s="27" t="n"/>
      <c r="O87" s="24" t="n"/>
      <c r="P87" s="28" t="n"/>
      <c r="Q87" s="1">
        <f>IF(K87&gt;=0.8,Q86+1,0)</f>
        <v/>
      </c>
      <c r="R87" s="1" t="n"/>
    </row>
    <row r="88" ht="21" customHeight="1">
      <c r="A88" s="22">
        <f>DATE(2026,10,1)+79</f>
        <v/>
      </c>
      <c r="B88" s="23">
        <f>CHOOSE(WEEKDAY(A88,2),"Пн","Вт","Ср","Чт","Пт","Сб","Вс")</f>
        <v/>
      </c>
      <c r="C88" s="24" t="n"/>
      <c r="D88" s="24" t="n"/>
      <c r="E88" s="24" t="n"/>
      <c r="F88" s="24" t="n"/>
      <c r="G88" s="24" t="n"/>
      <c r="H88" s="24" t="n"/>
      <c r="I88" s="24" t="n"/>
      <c r="J88" s="24" t="n"/>
      <c r="K88" s="25">
        <f>COUNTIF(C88:J88,TRUE)/8</f>
        <v/>
      </c>
      <c r="L88" s="37">
        <f>REPT("▰",ROUND(K88*10))&amp;REPT("▱",10-ROUND(K88*10))</f>
        <v/>
      </c>
      <c r="M88" s="27" t="n"/>
      <c r="N88" s="27" t="n"/>
      <c r="O88" s="24" t="n"/>
      <c r="P88" s="28" t="n"/>
      <c r="Q88" s="1">
        <f>IF(K88&gt;=0.8,Q87+1,0)</f>
        <v/>
      </c>
      <c r="R88" s="1" t="n"/>
    </row>
    <row r="89" ht="21" customHeight="1">
      <c r="A89" s="22">
        <f>DATE(2026,10,1)+80</f>
        <v/>
      </c>
      <c r="B89" s="23">
        <f>CHOOSE(WEEKDAY(A89,2),"Пн","Вт","Ср","Чт","Пт","Сб","Вс")</f>
        <v/>
      </c>
      <c r="C89" s="24" t="n"/>
      <c r="D89" s="24" t="n"/>
      <c r="E89" s="24" t="n"/>
      <c r="F89" s="24" t="n"/>
      <c r="G89" s="24" t="n"/>
      <c r="H89" s="24" t="n"/>
      <c r="I89" s="24" t="n"/>
      <c r="J89" s="24" t="n"/>
      <c r="K89" s="25">
        <f>COUNTIF(C89:J89,TRUE)/8</f>
        <v/>
      </c>
      <c r="L89" s="37">
        <f>REPT("▰",ROUND(K89*10))&amp;REPT("▱",10-ROUND(K89*10))</f>
        <v/>
      </c>
      <c r="M89" s="27" t="n"/>
      <c r="N89" s="27" t="n"/>
      <c r="O89" s="24" t="n"/>
      <c r="P89" s="28" t="n"/>
      <c r="Q89" s="1">
        <f>IF(K89&gt;=0.8,Q88+1,0)</f>
        <v/>
      </c>
      <c r="R89" s="1" t="n"/>
    </row>
    <row r="90" ht="21" customHeight="1">
      <c r="A90" s="22">
        <f>DATE(2026,10,1)+81</f>
        <v/>
      </c>
      <c r="B90" s="23">
        <f>CHOOSE(WEEKDAY(A90,2),"Пн","Вт","Ср","Чт","Пт","Сб","Вс")</f>
        <v/>
      </c>
      <c r="C90" s="24" t="n"/>
      <c r="D90" s="24" t="n"/>
      <c r="E90" s="24" t="n"/>
      <c r="F90" s="24" t="n"/>
      <c r="G90" s="24" t="n"/>
      <c r="H90" s="24" t="n"/>
      <c r="I90" s="24" t="n"/>
      <c r="J90" s="24" t="n"/>
      <c r="K90" s="25">
        <f>COUNTIF(C90:J90,TRUE)/8</f>
        <v/>
      </c>
      <c r="L90" s="37">
        <f>REPT("▰",ROUND(K90*10))&amp;REPT("▱",10-ROUND(K90*10))</f>
        <v/>
      </c>
      <c r="M90" s="27" t="n"/>
      <c r="N90" s="27" t="n"/>
      <c r="O90" s="24" t="n"/>
      <c r="P90" s="28" t="n"/>
      <c r="Q90" s="1">
        <f>IF(K90&gt;=0.8,Q89+1,0)</f>
        <v/>
      </c>
      <c r="R90" s="1" t="n"/>
    </row>
    <row r="91" ht="21" customHeight="1">
      <c r="A91" s="22">
        <f>DATE(2026,10,1)+82</f>
        <v/>
      </c>
      <c r="B91" s="23">
        <f>CHOOSE(WEEKDAY(A91,2),"Пн","Вт","Ср","Чт","Пт","Сб","Вс")</f>
        <v/>
      </c>
      <c r="C91" s="24" t="n"/>
      <c r="D91" s="24" t="n"/>
      <c r="E91" s="24" t="n"/>
      <c r="F91" s="24" t="n"/>
      <c r="G91" s="24" t="n"/>
      <c r="H91" s="24" t="n"/>
      <c r="I91" s="24" t="n"/>
      <c r="J91" s="24" t="n"/>
      <c r="K91" s="25">
        <f>COUNTIF(C91:J91,TRUE)/8</f>
        <v/>
      </c>
      <c r="L91" s="37">
        <f>REPT("▰",ROUND(K91*10))&amp;REPT("▱",10-ROUND(K91*10))</f>
        <v/>
      </c>
      <c r="M91" s="27" t="n"/>
      <c r="N91" s="27" t="n"/>
      <c r="O91" s="24" t="n"/>
      <c r="P91" s="28" t="n"/>
      <c r="Q91" s="1">
        <f>IF(K91&gt;=0.8,Q90+1,0)</f>
        <v/>
      </c>
      <c r="R91" s="1" t="n"/>
    </row>
    <row r="92" ht="21" customHeight="1">
      <c r="A92" s="22">
        <f>DATE(2026,10,1)+83</f>
        <v/>
      </c>
      <c r="B92" s="23">
        <f>CHOOSE(WEEKDAY(A92,2),"Пн","Вт","Ср","Чт","Пт","Сб","Вс")</f>
        <v/>
      </c>
      <c r="C92" s="24" t="n"/>
      <c r="D92" s="24" t="n"/>
      <c r="E92" s="24" t="n"/>
      <c r="F92" s="24" t="n"/>
      <c r="G92" s="24" t="n"/>
      <c r="H92" s="24" t="n"/>
      <c r="I92" s="24" t="n"/>
      <c r="J92" s="24" t="n"/>
      <c r="K92" s="25">
        <f>COUNTIF(C92:J92,TRUE)/8</f>
        <v/>
      </c>
      <c r="L92" s="37">
        <f>REPT("▰",ROUND(K92*10))&amp;REPT("▱",10-ROUND(K92*10))</f>
        <v/>
      </c>
      <c r="M92" s="27" t="n"/>
      <c r="N92" s="27" t="n"/>
      <c r="O92" s="24" t="n"/>
      <c r="P92" s="28" t="n"/>
      <c r="Q92" s="1">
        <f>IF(K92&gt;=0.8,Q91+1,0)</f>
        <v/>
      </c>
      <c r="R92" s="1" t="n"/>
    </row>
    <row r="93" ht="21" customHeight="1">
      <c r="A93" s="22">
        <f>DATE(2026,10,1)+84</f>
        <v/>
      </c>
      <c r="B93" s="23">
        <f>CHOOSE(WEEKDAY(A93,2),"Пн","Вт","Ср","Чт","Пт","Сб","Вс")</f>
        <v/>
      </c>
      <c r="C93" s="24" t="n"/>
      <c r="D93" s="24" t="n"/>
      <c r="E93" s="24" t="n"/>
      <c r="F93" s="24" t="n"/>
      <c r="G93" s="24" t="n"/>
      <c r="H93" s="24" t="n"/>
      <c r="I93" s="24" t="n"/>
      <c r="J93" s="24" t="n"/>
      <c r="K93" s="25">
        <f>COUNTIF(C93:J93,TRUE)/8</f>
        <v/>
      </c>
      <c r="L93" s="37">
        <f>REPT("▰",ROUND(K93*10))&amp;REPT("▱",10-ROUND(K93*10))</f>
        <v/>
      </c>
      <c r="M93" s="27" t="n"/>
      <c r="N93" s="27" t="n"/>
      <c r="O93" s="24" t="n"/>
      <c r="P93" s="28" t="n"/>
      <c r="Q93" s="1">
        <f>IF(K93&gt;=0.8,Q92+1,0)</f>
        <v/>
      </c>
      <c r="R93" s="1" t="n"/>
    </row>
    <row r="94" ht="21" customHeight="1">
      <c r="A94" s="22">
        <f>DATE(2026,10,1)+85</f>
        <v/>
      </c>
      <c r="B94" s="23">
        <f>CHOOSE(WEEKDAY(A94,2),"Пн","Вт","Ср","Чт","Пт","Сб","Вс")</f>
        <v/>
      </c>
      <c r="C94" s="24" t="n"/>
      <c r="D94" s="24" t="n"/>
      <c r="E94" s="24" t="n"/>
      <c r="F94" s="24" t="n"/>
      <c r="G94" s="24" t="n"/>
      <c r="H94" s="24" t="n"/>
      <c r="I94" s="24" t="n"/>
      <c r="J94" s="24" t="n"/>
      <c r="K94" s="25">
        <f>COUNTIF(C94:J94,TRUE)/8</f>
        <v/>
      </c>
      <c r="L94" s="37">
        <f>REPT("▰",ROUND(K94*10))&amp;REPT("▱",10-ROUND(K94*10))</f>
        <v/>
      </c>
      <c r="M94" s="27" t="n"/>
      <c r="N94" s="27" t="n"/>
      <c r="O94" s="24" t="n"/>
      <c r="P94" s="28" t="n"/>
      <c r="Q94" s="1">
        <f>IF(K94&gt;=0.8,Q93+1,0)</f>
        <v/>
      </c>
      <c r="R94" s="1" t="n"/>
    </row>
    <row r="95" ht="21" customHeight="1">
      <c r="A95" s="22">
        <f>DATE(2026,10,1)+86</f>
        <v/>
      </c>
      <c r="B95" s="23">
        <f>CHOOSE(WEEKDAY(A95,2),"Пн","Вт","Ср","Чт","Пт","Сб","Вс")</f>
        <v/>
      </c>
      <c r="C95" s="24" t="n"/>
      <c r="D95" s="24" t="n"/>
      <c r="E95" s="24" t="n"/>
      <c r="F95" s="24" t="n"/>
      <c r="G95" s="24" t="n"/>
      <c r="H95" s="24" t="n"/>
      <c r="I95" s="24" t="n"/>
      <c r="J95" s="24" t="n"/>
      <c r="K95" s="25">
        <f>COUNTIF(C95:J95,TRUE)/8</f>
        <v/>
      </c>
      <c r="L95" s="37">
        <f>REPT("▰",ROUND(K95*10))&amp;REPT("▱",10-ROUND(K95*10))</f>
        <v/>
      </c>
      <c r="M95" s="27" t="n"/>
      <c r="N95" s="27" t="n"/>
      <c r="O95" s="24" t="n"/>
      <c r="P95" s="28" t="n"/>
      <c r="Q95" s="1">
        <f>IF(K95&gt;=0.8,Q94+1,0)</f>
        <v/>
      </c>
      <c r="R95" s="1" t="n"/>
    </row>
    <row r="96" ht="21" customHeight="1">
      <c r="A96" s="22">
        <f>DATE(2026,10,1)+87</f>
        <v/>
      </c>
      <c r="B96" s="23">
        <f>CHOOSE(WEEKDAY(A96,2),"Пн","Вт","Ср","Чт","Пт","Сб","Вс")</f>
        <v/>
      </c>
      <c r="C96" s="24" t="n"/>
      <c r="D96" s="24" t="n"/>
      <c r="E96" s="24" t="n"/>
      <c r="F96" s="24" t="n"/>
      <c r="G96" s="24" t="n"/>
      <c r="H96" s="24" t="n"/>
      <c r="I96" s="24" t="n"/>
      <c r="J96" s="24" t="n"/>
      <c r="K96" s="25">
        <f>COUNTIF(C96:J96,TRUE)/8</f>
        <v/>
      </c>
      <c r="L96" s="37">
        <f>REPT("▰",ROUND(K96*10))&amp;REPT("▱",10-ROUND(K96*10))</f>
        <v/>
      </c>
      <c r="M96" s="27" t="n"/>
      <c r="N96" s="27" t="n"/>
      <c r="O96" s="24" t="n"/>
      <c r="P96" s="28" t="n"/>
      <c r="Q96" s="1">
        <f>IF(K96&gt;=0.8,Q95+1,0)</f>
        <v/>
      </c>
      <c r="R96" s="1" t="n"/>
    </row>
    <row r="97" ht="21" customHeight="1">
      <c r="A97" s="22">
        <f>DATE(2026,10,1)+88</f>
        <v/>
      </c>
      <c r="B97" s="23">
        <f>CHOOSE(WEEKDAY(A97,2),"Пн","Вт","Ср","Чт","Пт","Сб","Вс")</f>
        <v/>
      </c>
      <c r="C97" s="24" t="n"/>
      <c r="D97" s="24" t="n"/>
      <c r="E97" s="24" t="n"/>
      <c r="F97" s="24" t="n"/>
      <c r="G97" s="24" t="n"/>
      <c r="H97" s="24" t="n"/>
      <c r="I97" s="24" t="n"/>
      <c r="J97" s="24" t="n"/>
      <c r="K97" s="25">
        <f>COUNTIF(C97:J97,TRUE)/8</f>
        <v/>
      </c>
      <c r="L97" s="37">
        <f>REPT("▰",ROUND(K97*10))&amp;REPT("▱",10-ROUND(K97*10))</f>
        <v/>
      </c>
      <c r="M97" s="27" t="n"/>
      <c r="N97" s="27" t="n"/>
      <c r="O97" s="24" t="n"/>
      <c r="P97" s="28" t="n"/>
      <c r="Q97" s="1">
        <f>IF(K97&gt;=0.8,Q96+1,0)</f>
        <v/>
      </c>
      <c r="R97" s="1" t="n"/>
    </row>
    <row r="98" ht="21" customHeight="1">
      <c r="A98" s="22">
        <f>DATE(2026,10,1)+89</f>
        <v/>
      </c>
      <c r="B98" s="23">
        <f>CHOOSE(WEEKDAY(A98,2),"Пн","Вт","Ср","Чт","Пт","Сб","Вс")</f>
        <v/>
      </c>
      <c r="C98" s="24" t="n"/>
      <c r="D98" s="24" t="n"/>
      <c r="E98" s="24" t="n"/>
      <c r="F98" s="24" t="n"/>
      <c r="G98" s="24" t="n"/>
      <c r="H98" s="24" t="n"/>
      <c r="I98" s="24" t="n"/>
      <c r="J98" s="24" t="n"/>
      <c r="K98" s="25">
        <f>COUNTIF(C98:J98,TRUE)/8</f>
        <v/>
      </c>
      <c r="L98" s="37">
        <f>REPT("▰",ROUND(K98*10))&amp;REPT("▱",10-ROUND(K98*10))</f>
        <v/>
      </c>
      <c r="M98" s="27" t="n"/>
      <c r="N98" s="27" t="n"/>
      <c r="O98" s="24" t="n"/>
      <c r="P98" s="28" t="n"/>
      <c r="Q98" s="1">
        <f>IF(K98&gt;=0.8,Q97+1,0)</f>
        <v/>
      </c>
      <c r="R98" s="1" t="n"/>
    </row>
    <row r="99" ht="21" customHeight="1">
      <c r="A99" s="22">
        <f>DATE(2026,10,1)+90</f>
        <v/>
      </c>
      <c r="B99" s="23">
        <f>CHOOSE(WEEKDAY(A99,2),"Пн","Вт","Ср","Чт","Пт","Сб","Вс")</f>
        <v/>
      </c>
      <c r="C99" s="24" t="n"/>
      <c r="D99" s="24" t="n"/>
      <c r="E99" s="24" t="n"/>
      <c r="F99" s="24" t="n"/>
      <c r="G99" s="24" t="n"/>
      <c r="H99" s="24" t="n"/>
      <c r="I99" s="24" t="n"/>
      <c r="J99" s="24" t="n"/>
      <c r="K99" s="25">
        <f>COUNTIF(C99:J99,TRUE)/8</f>
        <v/>
      </c>
      <c r="L99" s="37">
        <f>REPT("▰",ROUND(K99*10))&amp;REPT("▱",10-ROUND(K99*10))</f>
        <v/>
      </c>
      <c r="M99" s="27" t="n"/>
      <c r="N99" s="27" t="n"/>
      <c r="O99" s="24" t="n"/>
      <c r="P99" s="28" t="n"/>
      <c r="Q99" s="1">
        <f>IF(K99&gt;=0.8,Q98+1,0)</f>
        <v/>
      </c>
      <c r="R99" s="1" t="n"/>
    </row>
    <row r="100" ht="21" customHeight="1">
      <c r="A100" s="22">
        <f>DATE(2026,10,1)+91</f>
        <v/>
      </c>
      <c r="B100" s="23">
        <f>CHOOSE(WEEKDAY(A100,2),"Пн","Вт","Ср","Чт","Пт","Сб","Вс")</f>
        <v/>
      </c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5">
        <f>COUNTIF(C100:J100,TRUE)/8</f>
        <v/>
      </c>
      <c r="L100" s="37">
        <f>REPT("▰",ROUND(K100*10))&amp;REPT("▱",10-ROUND(K100*10))</f>
        <v/>
      </c>
      <c r="M100" s="27" t="n"/>
      <c r="N100" s="27" t="n"/>
      <c r="O100" s="24" t="n"/>
      <c r="P100" s="28" t="n"/>
      <c r="Q100" s="1">
        <f>IF(K100&gt;=0.8,Q99+1,0)</f>
        <v/>
      </c>
      <c r="R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</row>
  </sheetData>
  <mergeCells count="14">
    <mergeCell ref="A5:P5"/>
    <mergeCell ref="M4:P4"/>
    <mergeCell ref="A7:B7"/>
    <mergeCell ref="M3:P3"/>
    <mergeCell ref="A1:P1"/>
    <mergeCell ref="D4:F4"/>
    <mergeCell ref="D3:F3"/>
    <mergeCell ref="A3:C3"/>
    <mergeCell ref="G3:I3"/>
    <mergeCell ref="G4:I4"/>
    <mergeCell ref="J4:L4"/>
    <mergeCell ref="A4:C4"/>
    <mergeCell ref="J3:L3"/>
    <mergeCell ref="A2:P2"/>
  </mergeCells>
  <conditionalFormatting sqref="A9:P100">
    <cfRule type="expression" priority="1" dxfId="0">
      <formula>ISODD(ROW()-9)</formula>
    </cfRule>
    <cfRule type="expression" priority="2" dxfId="4" stopIfTrue="1">
      <formula>$A9=TODAY()</formula>
    </cfRule>
  </conditionalFormatting>
  <conditionalFormatting sqref="C9:J100">
    <cfRule type="expression" priority="3" dxfId="5">
      <formula>C9=TRUE</formula>
    </cfRule>
  </conditionalFormatting>
  <conditionalFormatting sqref="A9:B100">
    <cfRule type="expression" priority="4" dxfId="3">
      <formula>$A9&gt;TODAY()</formula>
    </cfRule>
  </conditionalFormatting>
  <conditionalFormatting sqref="K9:K100">
    <cfRule type="colorScale" priority="5">
      <colorScale>
        <cfvo type="num" val="0"/>
        <cfvo type="num" val="1"/>
        <color rgb="0016203A"/>
        <color rgb="00A5B4FC"/>
      </colorScale>
    </cfRule>
  </conditionalFormatting>
  <dataValidations count="3">
    <dataValidation sqref="M9:M100" showDropDown="0" showInputMessage="1" showErrorMessage="1" allowBlank="0" error="Сколько часов спал(а): от 0 до 24" prompt="Сколько часов спал(а): от 0 до 24" type="decimal" operator="between">
      <formula1>0</formula1>
      <formula2>24</formula2>
    </dataValidation>
    <dataValidation sqref="N9:N100" showDropDown="0" showInputMessage="1" showErrorMessage="1" allowBlank="0" error="Вес в кг" prompt="Вес в кг" type="decimal" operator="between">
      <formula1>20</formula1>
      <formula2>300</formula2>
    </dataValidation>
    <dataValidation sqref="O9:O100" showDropDown="0" showInputMessage="1" showErrorMessage="1" allowBlank="0" error="Настроение от 1 до 5" prompt="Настроение от 1 до 5" type="decimal" operator="between">
      <formula1>1</formula1>
      <formula2>5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2026-09-25T12:16:04Z</dcterms:created>
  <dcterms:modified xsi:type="dcterms:W3CDTF">2026-09-25T12:16:04Z</dcterms:modified>
</cp:coreProperties>
</file>